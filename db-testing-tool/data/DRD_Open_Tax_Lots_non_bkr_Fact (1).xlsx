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77DD3363-6007-46B2-B3AE-B2C669DD51D3}" xr6:coauthVersionLast="47" xr6:coauthVersionMax="47" xr10:uidLastSave="{00000000-0000-0000-0000-000000000000}"/>
  <bookViews>
    <workbookView xWindow="0" yWindow="225" windowWidth="57840" windowHeight="32190" xr2:uid="{00000000-000D-0000-FFFF-FFFF00000000}"/>
  </bookViews>
  <sheets>
    <sheet name="Table-View" sheetId="13" r:id="rId1"/>
    <sheet name="View" sheetId="21" r:id="rId2"/>
    <sheet name="Grain Columns" sheetId="18" r:id="rId3"/>
    <sheet name="ETL Notes" sheetId="20" r:id="rId4"/>
    <sheet name="Additional View" sheetId="14" r:id="rId5"/>
    <sheet name="Model" sheetId="16" r:id="rId6"/>
    <sheet name="Table" sheetId="17" r:id="rId7"/>
  </sheets>
  <definedNames>
    <definedName name="_xlnm._FilterDatabase" localSheetId="5" hidden="1">Model!$A$1:$J$104</definedName>
    <definedName name="_xlnm._FilterDatabase" localSheetId="0" hidden="1">'Table-View'!$A$9:$AA$76</definedName>
    <definedName name="_xlnm._FilterDatabase" localSheetId="1" hidden="1">View!$A$1:$I$82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13" l="1"/>
  <c r="O14" i="13"/>
  <c r="P14" i="13"/>
  <c r="Q14" i="13"/>
  <c r="R14" i="13"/>
  <c r="S14" i="13"/>
  <c r="M15" i="13"/>
  <c r="O15" i="13"/>
  <c r="P15" i="13"/>
  <c r="Q15" i="13"/>
  <c r="R15" i="13"/>
  <c r="S15" i="13"/>
  <c r="M16" i="13"/>
  <c r="O16" i="13"/>
  <c r="P16" i="13"/>
  <c r="Q16" i="13"/>
  <c r="R16" i="13"/>
  <c r="S16" i="13"/>
  <c r="M17" i="13"/>
  <c r="O17" i="13"/>
  <c r="P17" i="13"/>
  <c r="Q17" i="13"/>
  <c r="R17" i="13"/>
  <c r="S17" i="13"/>
  <c r="M18" i="13"/>
  <c r="O18" i="13"/>
  <c r="P18" i="13"/>
  <c r="Q18" i="13"/>
  <c r="R18" i="13"/>
  <c r="S18" i="13"/>
  <c r="M19" i="13"/>
  <c r="O19" i="13"/>
  <c r="P19" i="13"/>
  <c r="Q19" i="13"/>
  <c r="R19" i="13"/>
  <c r="S19" i="13"/>
  <c r="M20" i="13"/>
  <c r="O20" i="13"/>
  <c r="P20" i="13"/>
  <c r="Q20" i="13"/>
  <c r="R20" i="13"/>
  <c r="S20" i="13"/>
  <c r="M21" i="13"/>
  <c r="O21" i="13"/>
  <c r="P21" i="13"/>
  <c r="Q21" i="13"/>
  <c r="R21" i="13"/>
  <c r="S21" i="13"/>
  <c r="M22" i="13"/>
  <c r="O22" i="13"/>
  <c r="P22" i="13"/>
  <c r="Q22" i="13"/>
  <c r="R22" i="13"/>
  <c r="S22" i="13"/>
  <c r="M24" i="13"/>
  <c r="O24" i="13"/>
  <c r="P24" i="13"/>
  <c r="Q24" i="13"/>
  <c r="R24" i="13"/>
  <c r="S24" i="13"/>
  <c r="M13" i="13"/>
  <c r="O13" i="13"/>
  <c r="P13" i="13"/>
  <c r="Q13" i="13"/>
  <c r="R13" i="13"/>
  <c r="S13" i="13"/>
  <c r="M11" i="13"/>
  <c r="O11" i="13"/>
  <c r="P11" i="13"/>
  <c r="Q11" i="13"/>
  <c r="R11" i="13"/>
  <c r="S11" i="13"/>
  <c r="M12" i="13"/>
  <c r="O12" i="13"/>
  <c r="P12" i="13"/>
  <c r="Q12" i="13"/>
  <c r="R12" i="13"/>
  <c r="S12" i="13"/>
  <c r="Q23"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73" i="13"/>
  <c r="Q74" i="13"/>
  <c r="Q72" i="13"/>
  <c r="Q66" i="13"/>
  <c r="Q67" i="13"/>
  <c r="Q68" i="13"/>
  <c r="Q75" i="13"/>
  <c r="Q76" i="13"/>
  <c r="Q69" i="13"/>
  <c r="Q70" i="13"/>
  <c r="Q71" i="13"/>
  <c r="Q10" i="13"/>
  <c r="P23"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73" i="13"/>
  <c r="P74" i="13"/>
  <c r="P72" i="13"/>
  <c r="P66" i="13"/>
  <c r="P67" i="13"/>
  <c r="P68" i="13"/>
  <c r="P75" i="13"/>
  <c r="P76" i="13"/>
  <c r="P69" i="13"/>
  <c r="P70" i="13"/>
  <c r="P71" i="13"/>
  <c r="P10" i="13"/>
  <c r="O45" i="13"/>
  <c r="O46" i="13"/>
  <c r="O47" i="13"/>
  <c r="O48" i="13"/>
  <c r="O49" i="13"/>
  <c r="O50" i="13"/>
  <c r="O51" i="13"/>
  <c r="O52" i="13"/>
  <c r="O53" i="13"/>
  <c r="O54" i="13"/>
  <c r="O55" i="13"/>
  <c r="O56" i="13"/>
  <c r="O57" i="13"/>
  <c r="O58" i="13"/>
  <c r="O59" i="13"/>
  <c r="O60" i="13"/>
  <c r="O61" i="13"/>
  <c r="O62" i="13"/>
  <c r="O63" i="13"/>
  <c r="O64" i="13"/>
  <c r="O65" i="13"/>
  <c r="O73" i="13"/>
  <c r="O74" i="13"/>
  <c r="O72" i="13"/>
  <c r="O66" i="13"/>
  <c r="O67" i="13"/>
  <c r="O68" i="13"/>
  <c r="O75" i="13"/>
  <c r="O76" i="13"/>
  <c r="O69" i="13"/>
  <c r="O70" i="13"/>
  <c r="O71" i="13"/>
  <c r="O23" i="13"/>
  <c r="O25" i="13"/>
  <c r="O26" i="13"/>
  <c r="O27" i="13"/>
  <c r="O28" i="13"/>
  <c r="O29" i="13"/>
  <c r="O30" i="13"/>
  <c r="O31" i="13"/>
  <c r="O32" i="13"/>
  <c r="O33" i="13"/>
  <c r="O34" i="13"/>
  <c r="O35" i="13"/>
  <c r="O36" i="13"/>
  <c r="O37" i="13"/>
  <c r="O38" i="13"/>
  <c r="O39" i="13"/>
  <c r="O40" i="13"/>
  <c r="O41" i="13"/>
  <c r="O42" i="13"/>
  <c r="O43" i="13"/>
  <c r="O44" i="13"/>
  <c r="O10" i="13"/>
  <c r="S23"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73" i="13"/>
  <c r="S74" i="13"/>
  <c r="S72" i="13"/>
  <c r="S66" i="13"/>
  <c r="S67" i="13"/>
  <c r="S68" i="13"/>
  <c r="S75" i="13"/>
  <c r="S76" i="13"/>
  <c r="S69" i="13"/>
  <c r="S70" i="13"/>
  <c r="S71" i="13"/>
  <c r="S10" i="13"/>
  <c r="R23"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73" i="13"/>
  <c r="R74" i="13"/>
  <c r="R72" i="13"/>
  <c r="R66" i="13"/>
  <c r="R67" i="13"/>
  <c r="R68" i="13"/>
  <c r="R75" i="13"/>
  <c r="R76" i="13"/>
  <c r="R69" i="13"/>
  <c r="R70" i="13"/>
  <c r="R71" i="13"/>
  <c r="R10" i="13"/>
  <c r="M23" i="13" l="1"/>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73" i="13"/>
  <c r="M74" i="13"/>
  <c r="M72" i="13"/>
  <c r="M66" i="13"/>
  <c r="M67" i="13"/>
  <c r="M68" i="13"/>
  <c r="M75" i="13"/>
  <c r="M76" i="13"/>
  <c r="M69" i="13"/>
  <c r="M70" i="13"/>
  <c r="M71" i="13"/>
  <c r="M1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tc={A24A2D70-ED4E-44AB-B5CC-4CE7AFC2F48A}</author>
    <author>tc={4AA4CE10-73FE-4646-8C7E-C1F0E2BF5E63}</author>
    <author>tc={B5E08E26-35FA-412F-821B-340A9235FFC8}</author>
  </authors>
  <commentList>
    <comment ref="A5" authorId="0" shapeId="0" xr:uid="{A24A2D70-ED4E-44AB-B5CC-4CE7AFC2F48A}">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D9" authorId="1" shapeId="0" xr:uid="{4AA4CE10-73FE-4646-8C7E-C1F0E2BF5E63}">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t>
      </text>
    </comment>
    <comment ref="H9" authorId="2" shapeId="0" xr:uid="{B5E08E26-35FA-412F-821B-340A9235FFC8}">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List>
</comments>
</file>

<file path=xl/sharedStrings.xml><?xml version="1.0" encoding="utf-8"?>
<sst xmlns="http://schemas.openxmlformats.org/spreadsheetml/2006/main" count="2359" uniqueCount="644">
  <si>
    <t>1. View Name</t>
  </si>
  <si>
    <t>Open_Tax_Lot_Non_Brokerage_Fact_V</t>
  </si>
  <si>
    <t xml:space="preserve">Please read review comments on Table Functional Description, Data Type and Business Definition
</t>
  </si>
  <si>
    <r>
      <t>2. Table Name (</t>
    </r>
    <r>
      <rPr>
        <b/>
        <u/>
        <sz val="11"/>
        <rFont val="Calibri"/>
        <family val="2"/>
        <scheme val="minor"/>
      </rPr>
      <t>From DA Team</t>
    </r>
    <r>
      <rPr>
        <b/>
        <sz val="11"/>
        <rFont val="Calibri"/>
        <family val="2"/>
        <scheme val="minor"/>
      </rPr>
      <t>) -</t>
    </r>
  </si>
  <si>
    <t>OPN_TAX_LOTS_NON_BKR_FACT</t>
  </si>
  <si>
    <t>3. View Schema Name - SSDS_DAL_OWNER</t>
  </si>
  <si>
    <t>4. Table Schema Name - TAXLOT_OWNER</t>
  </si>
  <si>
    <t xml:space="preserve">5. Table Functional Description /Comment in Oracle/Redshift - </t>
  </si>
  <si>
    <t>This table contains records for taxlots non brokerage which are Open and whose impact is yet to considered as realized gain/loss.</t>
  </si>
  <si>
    <t>BA Responsbility</t>
  </si>
  <si>
    <t>DA Responsibility</t>
  </si>
  <si>
    <t>6. Filter Criteria - Please see ETL Notes sheet.</t>
  </si>
  <si>
    <t>7. Grain - Please see Grain Columns sheet.</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</si>
  <si>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</si>
  <si>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</si>
  <si>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</si>
  <si>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</si>
  <si>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t>DA Comments to BA</t>
  </si>
  <si>
    <r>
      <t xml:space="preserve">Physical Name of Attribute (Name of column in Table)
</t>
    </r>
    <r>
      <rPr>
        <b/>
        <u/>
        <sz val="11"/>
        <rFont val="Calibri"/>
        <family val="2"/>
        <scheme val="minor"/>
      </rPr>
      <t>Supplied by DA Team</t>
    </r>
  </si>
  <si>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</si>
  <si>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</si>
  <si>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</si>
  <si>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View in Redshift</t>
  </si>
  <si>
    <t>Business Definition (To go into comments and into Meta Data Hub)</t>
  </si>
  <si>
    <t>Sample data values</t>
  </si>
  <si>
    <t>Action on Attribute
Add,Update,Remove, Blank</t>
  </si>
  <si>
    <t>Comments on when it was added / updated. List the PBI or Bug number.</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</si>
  <si>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</si>
  <si>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</si>
  <si>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</si>
  <si>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model defs. Match</t>
  </si>
  <si>
    <t>Is On table</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</si>
  <si>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</si>
  <si>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</si>
  <si>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</si>
  <si>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</si>
  <si>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</si>
  <si>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</si>
  <si>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</si>
  <si>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</si>
  <si>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Open Tax Lots Non Brokerage Fact Id</t>
  </si>
  <si>
    <t>NUMBER(38,0)</t>
  </si>
  <si>
    <t>No</t>
  </si>
  <si>
    <t>NUMERIC(38,0)</t>
  </si>
  <si>
    <t>This is Surrogate Key for this table. Used as Primary Key as wel</t>
  </si>
  <si>
    <t>Source System Code</t>
  </si>
  <si>
    <t>SRC_STM_CD</t>
  </si>
  <si>
    <t>VARCHAR2(40)</t>
  </si>
  <si>
    <t>Yes</t>
  </si>
  <si>
    <t>Character Varying(40)</t>
  </si>
  <si>
    <t>TAX_LOT_OPN_MSTR.SRC_STM_ID</t>
  </si>
  <si>
    <t>COMMON_OWNER</t>
  </si>
  <si>
    <t>SRC_STM_DIM</t>
  </si>
  <si>
    <t>Use SRC_STM_ID to get code</t>
  </si>
  <si>
    <t>Arrangement Id</t>
  </si>
  <si>
    <t>AR_ID</t>
  </si>
  <si>
    <t>Arrangement Id for the account Source:TAX_LOT_OPN_MSTR.AR_ID</t>
  </si>
  <si>
    <t>TAXLOT_STG_OWNER</t>
  </si>
  <si>
    <t>OPN_TAX_LOTS_NONBKR_TGT</t>
  </si>
  <si>
    <t>NUMBER</t>
  </si>
  <si>
    <t>CIRD Product Id</t>
  </si>
  <si>
    <t>CIRD_PD_ID</t>
  </si>
  <si>
    <t>RJT Source: TAX_LOT_OPN_MSTR.CCAL_PD_ID
Lookup on IMT_PD_DIM using CCAL_PD_ID PD_ID from CIRD - can be used as join key if date context is supplied at query time</t>
  </si>
  <si>
    <t>CCAL_REPL_OWNER</t>
  </si>
  <si>
    <t>CCAL_CIRD_PD_MAP</t>
  </si>
  <si>
    <t>Look up on CCAL_CIRD_PD_MAP where CCAL_PD_ID = TAX_LOT_OPN_MSTR.CCAL_PD_ID, pick- CIRD_PD_ID AND ACTV_F = 'Y'</t>
  </si>
  <si>
    <t>CCAL Product Id</t>
  </si>
  <si>
    <t>CCAL_PD_ID</t>
  </si>
  <si>
    <t>Product Id assigned by CCAL
RJT Source: TAX_LOT_OPN_MSTR.CCAL_PD_ID</t>
  </si>
  <si>
    <t>Accounting Type Code</t>
  </si>
  <si>
    <t>ACG_TP_CD</t>
  </si>
  <si>
    <t>VARCHAR2(1)</t>
  </si>
  <si>
    <t>Character Varying(1)</t>
  </si>
  <si>
    <t>RJT Source: TAX_LOT_OPN_MSTR.ACG_TP_CODE
Accounting type code
P=Principal
I=Income</t>
  </si>
  <si>
    <t>AC_TP_CODE</t>
  </si>
  <si>
    <t>Tax Lot External Reference Key Primary</t>
  </si>
  <si>
    <t>TAX_LOT_EXT_REFR_KEY_PRIM</t>
  </si>
  <si>
    <t>VARCHAR2(50)</t>
  </si>
  <si>
    <t>Character Varying(50)</t>
  </si>
  <si>
    <t>Taxlot sequence unique identifier assgined when a lot is generated in the source system.</t>
  </si>
  <si>
    <t>Tax Lot External Reference Key Secondary</t>
  </si>
  <si>
    <t>TAX_LOT_EXT_REFR_KEY_SCDY</t>
  </si>
  <si>
    <t>Secondary Sequence identifier of the debited tax lo assigned in the source system. Its optional not always populated</t>
  </si>
  <si>
    <t>Tax Lot External Reference Key Tertiary</t>
  </si>
  <si>
    <t>TAX_LOT_EXT_REFR_KEY_TRTY</t>
  </si>
  <si>
    <t>Sequence number identifier of transaction debited with a DLVR or Sell. Its optional not always popualted.</t>
  </si>
  <si>
    <t>Tax Lot External Reference Key Quaternary</t>
  </si>
  <si>
    <t>TAX_LOT_EXT_REFR_KEY_QTRNY</t>
  </si>
  <si>
    <t>Unique system generated identifier used to identify taxlots and create associations between taxlots.</t>
  </si>
  <si>
    <t>End Date</t>
  </si>
  <si>
    <t>END_DT</t>
  </si>
  <si>
    <t>DATE</t>
  </si>
  <si>
    <t>Timestamp without time zone</t>
  </si>
  <si>
    <t>Date on which row is no longer active.  Specify as MyDate &gt;= EFF_DT AND MyDate &lt; END_DT to select a row that is active@MyDate</t>
  </si>
  <si>
    <t>EFF_TO_DT</t>
  </si>
  <si>
    <t>Effective Date</t>
  </si>
  <si>
    <t>EFF_DT</t>
  </si>
  <si>
    <t>Specify as MyDate &gt;= EFF_DT AND MyDate &lt; END_DT to select a row that is active@MyDate</t>
  </si>
  <si>
    <t>EFF_FM_DT</t>
  </si>
  <si>
    <t>Accounting Type Name</t>
  </si>
  <si>
    <t>ACG_TP_NM</t>
  </si>
  <si>
    <t>VARCHAR2(500)</t>
  </si>
  <si>
    <t>Character Varying(500)</t>
  </si>
  <si>
    <t>TAX_LOT_OPN_MSTR.ACG_TP_CODE
Lookup on Accounting Type Dimension
Accounting type name (e.g., cash account,margin account)</t>
  </si>
  <si>
    <t>ACG_TP_DIM</t>
  </si>
  <si>
    <t>Lookup on Accounting Type Dimension
Use TAX_LOT_OPN_MSTR.ACG_TP_CODE 
to get ACG_TP_NM</t>
  </si>
  <si>
    <t>Acquired Date</t>
  </si>
  <si>
    <t>ACQ_DT</t>
  </si>
  <si>
    <t>Always the buy/opening lot opening date. When there is a sell, the buy date against which the sell happened will be populated. If there are multiple buys against a sell, the sell is broken down into multiple taxlots. Note: This is sometime referred to as opening trade date.</t>
  </si>
  <si>
    <t>Adjusted Cost</t>
  </si>
  <si>
    <t>ADJ_COST</t>
  </si>
  <si>
    <t>NUMBER(22,6)</t>
  </si>
  <si>
    <t>NUMERIC(22,6)</t>
  </si>
  <si>
    <t>For a Buy, the tax cost is shown. For a Sell, Tax Cost sold is populated.</t>
  </si>
  <si>
    <t>SBC_ASOF_ADJ_COST_AMT</t>
  </si>
  <si>
    <t>ADJ_COST,
case when (CCY_CODE ='USD' or (EXG_RATE is NULL OR EXG_RATE = 0)) THEN ADJ_COST
ELSE 
    ADJ_COST * EXG_RATE
END SBC_ADJ_COST</t>
  </si>
  <si>
    <t>Currency Code</t>
  </si>
  <si>
    <t>CCY_CD</t>
  </si>
  <si>
    <t>VARCHAR2(7)</t>
  </si>
  <si>
    <t>Character Varying(7)</t>
  </si>
  <si>
    <t>ISO certified3 alpha codes.</t>
  </si>
  <si>
    <t>STM_BASE_ISO_CCY_CODE</t>
  </si>
  <si>
    <t>Certificate Number</t>
  </si>
  <si>
    <t>CTF_NUM</t>
  </si>
  <si>
    <t>Certificate Number Provided by CBRS.</t>
  </si>
  <si>
    <t>TAX_LOT_CTF_NUM</t>
  </si>
  <si>
    <t>Certificate Number Prefix</t>
  </si>
  <si>
    <t>CTF_NUM_PFX</t>
  </si>
  <si>
    <t>Certificate Number Prefix Provided by CBRS.</t>
  </si>
  <si>
    <t>TAX_LOT_CTF_NUM_PFX</t>
  </si>
  <si>
    <t>Cost Basis Legislation Coverage Code</t>
  </si>
  <si>
    <t>COST_BSS_LEGS_CVR_CD</t>
  </si>
  <si>
    <t>Cost Basis Legislation Coverage: “covered” securities are those impacted by the cost basis legislation (which is dependent on the security type and acquisition date) and subject to the new IRS reporting requirements.</t>
  </si>
  <si>
    <t>CVRD_UNCVRD</t>
  </si>
  <si>
    <t>Disallowed Wash Sale Amount</t>
  </si>
  <si>
    <t>DISALWD_WASH_SALE_AMT</t>
  </si>
  <si>
    <t>A wash sale is sale of a security at a loss and repurchase of the same or substantially identical security shortly before or after.  The wash-sale rule states that the tax loss will be disallowed if you buy the same security, a contract or option to buy the security, or a "substantially identical" security, within 30 days before or after the date you sold the loss-generating investment</t>
  </si>
  <si>
    <t>SBC_WASH_SALE_AMT</t>
  </si>
  <si>
    <t>Exchange Rate</t>
  </si>
  <si>
    <t>EXG_RATE</t>
  </si>
  <si>
    <t>This is an exchange rate for foreign currency.</t>
  </si>
  <si>
    <t>SBC_EXG_RATE</t>
  </si>
  <si>
    <t>Fair Market Value Of Gift Or Inheritance</t>
  </si>
  <si>
    <t>FAIR_MKT_VAL_OF_GIFT_OR_INHTN</t>
  </si>
  <si>
    <t>Fair market value of the tax lot at the point of gifting or inheritance For gifted or inherited trns only.</t>
  </si>
  <si>
    <t>SBC_ASOF_FAIR_MKT_VAL_AMT</t>
  </si>
  <si>
    <t>FMV FAIR_MKT_VAL_OF_GIFT_OR_INHTN,
case when (CCY_CODE ='USD' or (EXG_RATE is NULL OR EXG_RATE = 0)) THEN FMV
ELSE 
    FMV * EXG_RATE
END SBC_FAIR_MKT_VAL</t>
  </si>
  <si>
    <t>Gift Date</t>
  </si>
  <si>
    <t>GIFT_DT</t>
  </si>
  <si>
    <t>Date of death for inheritance or Date of a gifted taxlot.</t>
  </si>
  <si>
    <t>Position Inception Date</t>
  </si>
  <si>
    <t>POS_INCPTN_DT</t>
  </si>
  <si>
    <t>Holding date of the opening tax lot.  Is available on the sell transaction as well.
Note: This should coincide with the acquisition date unless the sale is affected by an action in which the acquisition date changes but the holding date stays the same.  i.e. wash sale, gifts, etc.)</t>
  </si>
  <si>
    <t>Long Short Position Code</t>
  </si>
  <si>
    <t>LONG_SHRT_POS_CD</t>
  </si>
  <si>
    <t>A value that represents the tax lot being a long or short position.
Valid Values:
L = Long
S = Short</t>
  </si>
  <si>
    <t>POS_LONG_SHRT_CODE</t>
  </si>
  <si>
    <t>Loss Not Allowed Flag</t>
  </si>
  <si>
    <t>LOSS_NOT_ALWD_F</t>
  </si>
  <si>
    <t>The loss on a transaction that is disallowed for tax purposes because it is part of a wash sale.</t>
  </si>
  <si>
    <t>NULL</t>
  </si>
  <si>
    <t>Life To Date Market Discount</t>
  </si>
  <si>
    <t>LIFE_TO_DTD_MKT_DCN</t>
  </si>
  <si>
    <t>Life-to-Date Market Discount calculated from the
open date or the last adjustment date of the fixed income security</t>
  </si>
  <si>
    <t>Missing Cost Basis Flag</t>
  </si>
  <si>
    <t>MISS_COST_BSS_F</t>
  </si>
  <si>
    <t>Indicates that Cost basis is not available for this position</t>
  </si>
  <si>
    <t>MISS_COST_F</t>
  </si>
  <si>
    <t>CASE
                        WHEN (TAX_LOT_OPN_MSTR.MISS_COST_F = 'Y' OR TAX_LOT_OPN_MSTR.null_bss_f = 'Y')
                          THEN 'Y'
                        ELSE 'N'
                     END</t>
  </si>
  <si>
    <t>Adjusted Cost Not Accurate Flag</t>
  </si>
  <si>
    <t>ADJ_COST_NOT_ACRT_F</t>
  </si>
  <si>
    <t>Indcates that Adjusted Cost is not accurate due to missing cost on atleast one sublot
Source:NULL_F
Y = 	YES – At least one of the associated average cost records is missing average cost
N = 	NO – None of the associated average cost records are missing average cost</t>
  </si>
  <si>
    <t>NULL_BSS_F</t>
  </si>
  <si>
    <t>Open Price Factor</t>
  </si>
  <si>
    <t>OPN_PRC_FCTR</t>
  </si>
  <si>
    <t>Price_factor of opening transaction
Used for factored bonds
RJT Source: TAX_LOT_OPN_MSTR.NML_CCY_OPN_PRC_FCTR</t>
  </si>
  <si>
    <t>SBC_OPN_PRC_FCTR</t>
  </si>
  <si>
    <t>OPN_FCTR OPN_PRC_FCTR,
case when (CCY_CODE ='USD' or (EXG_RATE is NULL OR EXG_RATE = 0)) THEN OPN_FCTR
ELSE 
    OPN_FCTR * EXG_RATE
END SBC_OPN_PRC_FCTR</t>
  </si>
  <si>
    <t>Open Transaction Event Type</t>
  </si>
  <si>
    <t>OPN_TXN_EV_TP</t>
  </si>
  <si>
    <t>RJT Source: TAX_LOT_OPN_MSTR.TAX_LOT_TXN_EV_TP_ID
For open and closed lots, this field includes the 'event' of the opening transaction</t>
  </si>
  <si>
    <t>CL_VAL</t>
  </si>
  <si>
    <t>CL_VAL_NM</t>
  </si>
  <si>
    <t>Use  TAX_LOT_TXN_EV_TP_ID in CL_VAL_ID in CL_VAL table and pick CL_VAL_NM  where CL_SCM_CD= 86</t>
  </si>
  <si>
    <t>Cost Amount</t>
  </si>
  <si>
    <t>COST_AMT</t>
  </si>
  <si>
    <t>Original total purchase cost of the instrument
Buy, the net amount is shown.
Sell, cost sold for a sell is displayed.
Note: This field cannot be used currently as it is not prorated or adjusted for changes/actions/partial sells where a change in quantity is made.</t>
  </si>
  <si>
    <t>NML_ASOF_CRN_COST_AMT</t>
  </si>
  <si>
    <t>ORIG_COST COST_AMT,
case when (CCY_CODE ='USD' or (EXG_RATE is NULL OR EXG_RATE = 0)) THEN ORIG_COST
ELSE 
    ORIG_COST * EXG_RATE
END SBC_COST_AMT</t>
  </si>
  <si>
    <t>Original Event Type</t>
  </si>
  <si>
    <t>ORIG_EV_TP</t>
  </si>
  <si>
    <t>VARCHAR2(32)</t>
  </si>
  <si>
    <t>Character Varying(32)</t>
  </si>
  <si>
    <t>Opening transaction original event ID.  Used when opening transaction event ID represents a corporate action, in which case the original event ID (such as DRIP BUY, gift, or inheritance, etc. is more important)Source: ORIG_EV_ID</t>
  </si>
  <si>
    <t>its always NULL</t>
  </si>
  <si>
    <t>Original Price</t>
  </si>
  <si>
    <t>ORIG_PRC</t>
  </si>
  <si>
    <t>Per share price of the opening tax lot.big_prc of the Buy/open short. Will be populated for a sell with opening price.
Note: This field cannot be used currently as it is not prorated or adjusted for changes/actions/partial sells where a change in quantity is made.</t>
  </si>
  <si>
    <t>SBC_ORIG_PRC</t>
  </si>
  <si>
    <t>ORIG_PRC,
case when (CCY_CODE ='USD' or (EXG_RATE is NULL OR EXG_RATE = 0)) THEN ORIG_PRC
ELSE 
    ORIG_PRC * EXG_RATE
END SBC_ORIG_PRC</t>
  </si>
  <si>
    <t>Original Proceed</t>
  </si>
  <si>
    <t>ORIG_PROCD</t>
  </si>
  <si>
    <t>Net_amount of asgn sell before adding premium.
Note: This field cannot be used currently as it is not prorated or adjusted for changes/actions/partial sells where a change in quantity is made.</t>
  </si>
  <si>
    <t>SBC_ORIG_PROCD_AMT</t>
  </si>
  <si>
    <t>ORIG_PROCD,
case when (CCY_CODE ='USD' or (EXG_RATE is NULL OR EXG_RATE = 0)) THEN ORIG_PROCD
ELSE 
    ORIG_PROCD * EXG_RATE
END SBC_ORIG_PROCD</t>
  </si>
  <si>
    <t>Original Transaction Type Code</t>
  </si>
  <si>
    <t>ORIG_TXN_TP_CD</t>
  </si>
  <si>
    <t>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existing values:
BUY, INH, DRP, ACT, XCH, SED, ATF, RCV, BTO, SHS, EXC, GFT, SCC, STO, CCG, ASN, SPN, RSP, MRG, SDV, RTS, DVR, BPR, WSH, ACQ, OID, MDI, NQSI, LIQ</t>
  </si>
  <si>
    <t>Premium Amount</t>
  </si>
  <si>
    <t>PREM_AMT</t>
  </si>
  <si>
    <t>The option premium amount that is added to the underlying stock when an option is assigned to the holder.</t>
  </si>
  <si>
    <t>Quantity</t>
  </si>
  <si>
    <t>QTY</t>
  </si>
  <si>
    <t xml:space="preserve">Contains the total shares / PAR value for the open or closed tax lot position.
Lot quantity per Maxit
When long_short_position = S, always set to (absolute value * -1)
When long_short_position = L, always set to absolute value
RJT Source: TAX_LOT_OPN_ASOF.TAX_LOT_ASOF_QTY
</t>
  </si>
  <si>
    <t>TAX_LOT_ASOF_QTY</t>
  </si>
  <si>
    <t>Source Record Type Code</t>
  </si>
  <si>
    <t>SRC_RCRD_TP_CD</t>
  </si>
  <si>
    <t xml:space="preserve">RJT Source: TAX_LOT_OPN_MSTR	SRC_RCRD_TP_ID 
Y= Tax Lot Record Type specific to Raymond James Trust </t>
  </si>
  <si>
    <t>CL_VAL_CD</t>
  </si>
  <si>
    <t>Use  SRC_RCRD_TP_ID in CL_VAL and use- CL_VAL_CD</t>
  </si>
  <si>
    <t>Reinvestment Lot Flag</t>
  </si>
  <si>
    <t>RVST_LOT_F</t>
  </si>
  <si>
    <t>Re-investment indicator linked to Dividend Reinvestment Plan (DRIP) logic. Indicates whether the lot is eligible to be included in the position’s average cost.</t>
  </si>
  <si>
    <t>RVST_F</t>
  </si>
  <si>
    <t>Settlement Date</t>
  </si>
  <si>
    <t>SD</t>
  </si>
  <si>
    <t>Settlement date of Open/close transaction supplied by RJ.</t>
  </si>
  <si>
    <t>Trade Number</t>
  </si>
  <si>
    <t>TRD_NUM</t>
  </si>
  <si>
    <t>VARCHAR2(80)</t>
  </si>
  <si>
    <t>Character Varying(80)</t>
  </si>
  <si>
    <t>Client specific transaction no.</t>
  </si>
  <si>
    <t>Transaction Initiate Date</t>
  </si>
  <si>
    <t>TXN_INTT_DT</t>
  </si>
  <si>
    <t>This is the date transfer is made.</t>
  </si>
  <si>
    <t>TXN_INIT_DT</t>
  </si>
  <si>
    <t>Transaction Type Code</t>
  </si>
  <si>
    <t>TXN_TP_CD</t>
  </si>
  <si>
    <t>Code assigned to each transaction type. Transaction types offer a broad classification of the transaction Base on defined industry/line-of-business definitions such as a 'Buy', 'Deposit', 'Merger', etc.</t>
  </si>
  <si>
    <t>Unit Cost</t>
  </si>
  <si>
    <t>UC</t>
  </si>
  <si>
    <t>Opening price per share</t>
  </si>
  <si>
    <t>SBC_OPN_PER_UC_AMT</t>
  </si>
  <si>
    <t>UC,
case when (CCY_CODE ='USD' or (EXG_RATE is NULL OR EXG_RATE = 0)) THEN UC
ELSE 
    UC * EXG_RATE
END SBC_UC</t>
  </si>
  <si>
    <t>System Base Currency Unit Cost</t>
  </si>
  <si>
    <t>SBC_UC</t>
  </si>
  <si>
    <t>Unit cost of a security denominated based on currency used in sysytem.</t>
  </si>
  <si>
    <t>Wash Sale Flag</t>
  </si>
  <si>
    <t>WASH_SALE_F</t>
  </si>
  <si>
    <t>Flag designates when a Wash Sale, a transaction where an investor sells a losing security to claim a capital loss, only to repurchase it again for a bargain.</t>
  </si>
  <si>
    <t>Zero Cost Basis Flag</t>
  </si>
  <si>
    <t>ZERO_COST_BSS_F</t>
  </si>
  <si>
    <t>VARCHAR2(2)</t>
  </si>
  <si>
    <t>Character Varying(2)</t>
  </si>
  <si>
    <t>This indicates whether a tax lot without cost basis is just missing or it is a true zero basis.</t>
  </si>
  <si>
    <t>ZERO_BSS_IND_F</t>
  </si>
  <si>
    <t>Wash Sale Type</t>
  </si>
  <si>
    <t>WASH_SALE_TP</t>
  </si>
  <si>
    <t>The Boolean value (Y/N) that indicates whether or not a Tax Lot Closed open portion of transaction is a wash sale sublot – ‘Y’ Otherwise ‘N’</t>
  </si>
  <si>
    <t>(CASE   
WHEN TAX_LOT_OPN_MSTR.WASH_SALE_IND ='Y' 
AND TAX_LOT_OPN_MSTR.DISALWD_WASHSALE_AMT = 0    THEN 'CBW' 
WHEN TAX_LOT_OPN_MSTR.WASH_SALE_IND ='Y' 
AND TAX_LOT_OPN_MSTR.DISALWD_WASHSALE_AMT &gt; 0    THEN 'BOTHW' 
WHEN TAX_LOT_OPN_MSTR.WASH_SALE_IND &lt;&gt; 'Y' 
AND TAX_LOT_OPN_MSTR.DISALWD_WASHSALE_AMT &gt; 0    THEN 'GLW' 
END) AS WASH_SALE_TP</t>
  </si>
  <si>
    <t>System Base Currency Disallowed Wash Sale Amount</t>
  </si>
  <si>
    <t>SBC_DISALWD_WASH_SALE_AMT</t>
  </si>
  <si>
    <t>This is the amount of the losses that are disallowed by wash sale rules. This value will be on the sells with losses that turn into wash sells.</t>
  </si>
  <si>
    <t>System Base Currency Adjusted Cost</t>
  </si>
  <si>
    <t>SBC_ADJ_COST</t>
  </si>
  <si>
    <t>Adjusted cost for the Lot</t>
  </si>
  <si>
    <t>System Base Currency Fair Market Value</t>
  </si>
  <si>
    <t>SBC_FAIR_MKT_VAL</t>
  </si>
  <si>
    <t>fair market value of the tax lot at the point of gifting or inheritance per system base currency</t>
  </si>
  <si>
    <t>System Base Currency Open Price Factor</t>
  </si>
  <si>
    <t>Price_factor of opening transaction
Used for factored bonds</t>
  </si>
  <si>
    <t>System Base Currency Cost Amount</t>
  </si>
  <si>
    <t>SBC_COST_AMT</t>
  </si>
  <si>
    <t>Original total purchase cost of the instrument Buy, the net amount is shown.
Sell, cost sold for a sell is displayed.
Note: This field cannot be used currently as it is not prorated or adjusted for changes/actions/partial sells where a change in quantity is made.</t>
  </si>
  <si>
    <t>SBC_OPN_COST_AMT</t>
  </si>
  <si>
    <t>System Base Currency Original Price</t>
  </si>
  <si>
    <t>NUMBER(30,8)</t>
  </si>
  <si>
    <t>NUMERIC(30,8)</t>
  </si>
  <si>
    <t>Per share price of the opening tax lot. big_prc of the Buy/open short. Will be populated for a sell with opening price.
Note: This field cannot be used currently as it is not prorated or adjusted for changes/actions/partial sells where a change in quantity is made.</t>
  </si>
  <si>
    <t>System Base Currency Original Proceed</t>
  </si>
  <si>
    <t>SBC_ORIG_PROCD</t>
  </si>
  <si>
    <t>Source System Id</t>
  </si>
  <si>
    <t>SRC_STM_ID</t>
  </si>
  <si>
    <t>Identifer of the Source System</t>
  </si>
  <si>
    <t>Source System Name</t>
  </si>
  <si>
    <t>SRC_STM_NM</t>
  </si>
  <si>
    <t>VARCHAR2(60)</t>
  </si>
  <si>
    <t>Character Varying(60)</t>
  </si>
  <si>
    <t xml:space="preserve">Name of the source system </t>
  </si>
  <si>
    <t>Use SRC_STM_ID to get name</t>
  </si>
  <si>
    <t>Accounting Type Id</t>
  </si>
  <si>
    <t>ACG_TP_ID</t>
  </si>
  <si>
    <t xml:space="preserve">Numeric identifier of the accounting type ID (e.g., 1006, 1001) Lookup using Accounting type Code( RJT TAX_LOT_OPN_MSTR.ACG_TP_CODE) </t>
  </si>
  <si>
    <t>Use TAX_LOT_OPN_MSTR.ACG_TP_CODE 
to get ACG_TP_ID</t>
  </si>
  <si>
    <t>Tax Lot Type</t>
  </si>
  <si>
    <t>TAX_LOT_TP</t>
  </si>
  <si>
    <t>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t>
  </si>
  <si>
    <t>Use TAX_LOT_TXN_TP_ID as CL_Val_id and get CL_VAL_NM where CL_SCM_ID = 84</t>
  </si>
  <si>
    <t>Cost Basis Legislation Coverage Flag</t>
  </si>
  <si>
    <t>COST_BSS_LEGS_CVR_F</t>
  </si>
  <si>
    <t xml:space="preserve">For RJ Trust accounts if the Covered Flag from the tax lot open master table is C, then set to Y Otherwise, set to N </t>
  </si>
  <si>
    <t>(case when TAXLOT_DTL_OPN.CVRD_UNCVRD = 'C' then 'Y'
else 'N'
end) AS COST_BSS_LEGS_CVR_F</t>
  </si>
  <si>
    <t>Missing Invest Cost Flag</t>
  </si>
  <si>
    <t>MISS_IVS_COST_F</t>
  </si>
  <si>
    <t>For RJ Trust accounts
  If the reinvest flag from tax lot open master is not equal to Y
  If the Missing Cost Flag from the tax lot open master table is Y, then set to Y
  If the Null Basis Flag from the tax lot open master table is Y, then set to Y
 Otherwise, set to N</t>
  </si>
  <si>
    <t>CASE
                          WHEN (TAX_LOT_OPN_MSTR.RVST_F&lt;&gt;'Y' AND (TAX_LOT_OPN_MSTR.MISS_COST_F = 'Y' OR TAX_LOT_OPN_MSTR.null_bss_f = 'Y'))
                            THEN 'Y'
                            ELSE 'N'
                    END</t>
  </si>
  <si>
    <t>Session Number</t>
  </si>
  <si>
    <t>SESN_NUM</t>
  </si>
  <si>
    <t>ODI Session Number for last update</t>
  </si>
  <si>
    <t>Create Datetime</t>
  </si>
  <si>
    <t>CRT_DTM</t>
  </si>
  <si>
    <t>TIMESTAMP(6)</t>
  </si>
  <si>
    <t>The exact date when a Open Tax Lot Fact was first created.</t>
  </si>
  <si>
    <t>Create User Name</t>
  </si>
  <si>
    <t>CRT_USR_NM</t>
  </si>
  <si>
    <t>VARCHAR2(256)</t>
  </si>
  <si>
    <t>Character Varying(256)</t>
  </si>
  <si>
    <t>The name that represents the user who created an occurrence of a/an Position Open Tax Lots.</t>
  </si>
  <si>
    <t>Last Update Datetime</t>
  </si>
  <si>
    <t>LAST_UDT_DTM</t>
  </si>
  <si>
    <t>The time that represents the user or application who inserted, updated, or deleted each occurrence of Position Open Tax Lots .</t>
  </si>
  <si>
    <t>Last Update User Name</t>
  </si>
  <si>
    <t>LAST_UDT_USR_NM</t>
  </si>
  <si>
    <t>The name that represents the user or application who inserted, updated, or deleted each occurrence of Position Open Tax Lots .</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</si>
  <si>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</si>
  <si>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</si>
  <si>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</si>
  <si>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</si>
  <si>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</si>
  <si>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</si>
  <si>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</si>
  <si>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</si>
  <si>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</si>
  <si>
    <t>ACAT_TYPE</t>
  </si>
  <si>
    <t>YES</t>
  </si>
  <si>
    <t>ACAT_TYPE_CODE</t>
  </si>
  <si>
    <t>ACCOUNTING_TYPE_CODE</t>
  </si>
  <si>
    <t>ACCOUNTING_TYPE_DIMENSION_ID</t>
  </si>
  <si>
    <t>NUMBER(38)</t>
  </si>
  <si>
    <t>ACCOUNTING_TYPE_ID</t>
  </si>
  <si>
    <t>ACCOUNTING_TYPE_NAME</t>
  </si>
  <si>
    <t>ACQUIRED_DATE</t>
  </si>
  <si>
    <t>ACQUIRED_DATE_DIMENSION_ID</t>
  </si>
  <si>
    <t>ADJUSTED_COST</t>
  </si>
  <si>
    <t>ADJUSTED_COST_NOT_ACCURATE_FLAG</t>
  </si>
  <si>
    <t>ARRANGEMENT_ID</t>
  </si>
  <si>
    <t>BUY_TRADE_NUMBER</t>
  </si>
  <si>
    <t>CCAL_PRODUCT_ID</t>
  </si>
  <si>
    <t>CERTIFICATE_NUMBER</t>
  </si>
  <si>
    <t>CERTIFICATE_NUMBER_PREFIX</t>
  </si>
  <si>
    <t>CIRD_PRODUCT_ID</t>
  </si>
  <si>
    <t>COST_AMOUNT</t>
  </si>
  <si>
    <t>COST_BASIS_LEGISLATION_COVERAGE_CODE</t>
  </si>
  <si>
    <t>COST_BASIS_LEGISLATION_COVERAGE_FLAG</t>
  </si>
  <si>
    <t>COST_BASIS_SHAREHOLDER_PROVIDED_CODE</t>
  </si>
  <si>
    <t>CREATE_DATETIME</t>
  </si>
  <si>
    <t>CREATE_USER_NAME</t>
  </si>
  <si>
    <t>CURRENCY_CODE</t>
  </si>
  <si>
    <t>DISALLOWED_WASH_SALE_AMOUNT</t>
  </si>
  <si>
    <t>DUAL_BASIS_FLAG</t>
  </si>
  <si>
    <t>EFFECTIVE_DATE</t>
  </si>
  <si>
    <t>EFFECTIVE_DATE_DIMENSION_ID</t>
  </si>
  <si>
    <t>END_DATE</t>
  </si>
  <si>
    <t>END_DATE_DIMENSION_ID</t>
  </si>
  <si>
    <t>EXCHANGE_RATE</t>
  </si>
  <si>
    <t>FAIR_MARKET_VALUE_OF_GIFT_OR_INHERITANCE</t>
  </si>
  <si>
    <t>GIFT_DATE</t>
  </si>
  <si>
    <t>GIFT_DATE_DIMENSION_ID</t>
  </si>
  <si>
    <t>LAST_UPDATE_DATETIME</t>
  </si>
  <si>
    <t>LAST_UPDATE_USER_NAME</t>
  </si>
  <si>
    <t>LIFE_TO_DATE_MARKET_DISCOUNT</t>
  </si>
  <si>
    <t>LONG_SHORT_POSITION_CODE</t>
  </si>
  <si>
    <t>LOSS_NOT_ALLOWED_FLAG</t>
  </si>
  <si>
    <t>MISSING_COST_BASIS_FLAG</t>
  </si>
  <si>
    <t>MISSING_INVEST_COST_FLAG</t>
  </si>
  <si>
    <t>OPEN_PRICE_FACTOR</t>
  </si>
  <si>
    <t>OPEN_TAX_LOTS_FACT_ID</t>
  </si>
  <si>
    <t>OPEN_TRANSACTION_EVENT_TYPE</t>
  </si>
  <si>
    <t>ORIGINAL_EVENT_TYPE</t>
  </si>
  <si>
    <t>ORIGINAL_PRICE</t>
  </si>
  <si>
    <t>ORIGINAL_PROCEED</t>
  </si>
  <si>
    <t>ORIGINAL_TRANSACTION_TYPE_CODE</t>
  </si>
  <si>
    <t>POSITION_INCEPTION_DATE</t>
  </si>
  <si>
    <t>POSITION_INCEPTION_DATE_DIMENSION_ID</t>
  </si>
  <si>
    <t>PREMIUM_AMOUNT</t>
  </si>
  <si>
    <t>QUANTITY</t>
  </si>
  <si>
    <t>REINVESTMENT_LOT_FLAG</t>
  </si>
  <si>
    <t>SETTLEMENT_DATE</t>
  </si>
  <si>
    <t>SETTLEMENT_DATE_DIMENSION_ID</t>
  </si>
  <si>
    <t>SOURCE_EFFECTIVE_DATE</t>
  </si>
  <si>
    <t>SOURCE_RECORD_TYPE_CODE</t>
  </si>
  <si>
    <t>SOURCE_SYSTEM_CODE</t>
  </si>
  <si>
    <t>SOURCE_SYSTEM_DIMENSION_ID</t>
  </si>
  <si>
    <t>SOURCE_SYSTEM_ID</t>
  </si>
  <si>
    <t>SOURCE_SYSTEM_NAME</t>
  </si>
  <si>
    <t>SYSTEM_BASE_CURRENCY_ADJUSTED_COST</t>
  </si>
  <si>
    <t>SYSTEM_BASE_CURRENCY_COST_AMOUNT</t>
  </si>
  <si>
    <t>SYSTEM_BASE_CURRENCY_DISALLOWED_WASH_SALE_AMOUNT</t>
  </si>
  <si>
    <t>SYSTEM_BASE_CURRENCY_FAIR_MARKET_VALUE</t>
  </si>
  <si>
    <t>SYSTEM_BASE_CURRENCY_OPEN_PRICE_FACTOR</t>
  </si>
  <si>
    <t>SYSTEM_BASE_CURRENCY_ORIGINAL_PRICE</t>
  </si>
  <si>
    <t>SYSTEM_BASE_CURRENCY_ORIGINAL_PROCEED</t>
  </si>
  <si>
    <t>SYSTEM_BASE_CURRENCY_UNIT_COST</t>
  </si>
  <si>
    <t>TAX_LOT_EXTERNAL_REFERENCE_KEY_PRIMARY</t>
  </si>
  <si>
    <t>TAX_LOT_EXTERNAL_REFERENCE_KEY_QUATERNARY</t>
  </si>
  <si>
    <t>TAX_LOT_EXTERNAL_REFERENCE_KEY_SECONDARY</t>
  </si>
  <si>
    <t>TAX_LOT_EXTERNAL_REFERENCE_KEY_TERTIARY</t>
  </si>
  <si>
    <t>TAX_LOT_TYPE</t>
  </si>
  <si>
    <t>TRADE_NUMBER</t>
  </si>
  <si>
    <t>TRANSACTION_INITIATE_DATE</t>
  </si>
  <si>
    <t>TRANSACTION_INITIATE_DATE_DIMENSION_ID</t>
  </si>
  <si>
    <t>TRANSACTION_TYPE_CODE</t>
  </si>
  <si>
    <t>UNIT_COST</t>
  </si>
  <si>
    <t>WASH_SALE_FLAG</t>
  </si>
  <si>
    <t>WASH_SALE_TYPE</t>
  </si>
  <si>
    <t>ZERO_COST_BASIS_FLAG</t>
  </si>
  <si>
    <t xml:space="preserve">1. View Name - </t>
  </si>
  <si>
    <t xml:space="preserve">5. Table Functional Description - </t>
  </si>
  <si>
    <t>6. Filter Criteria -  NA</t>
  </si>
  <si>
    <t>Logic if necessary:</t>
  </si>
  <si>
    <t>Entity Name</t>
  </si>
  <si>
    <t>Table Name</t>
  </si>
  <si>
    <t>Attribute Name</t>
  </si>
  <si>
    <t>Column Name</t>
  </si>
  <si>
    <t>Attribute/Column Definition</t>
  </si>
  <si>
    <t>Domain</t>
  </si>
  <si>
    <t>Column Datatype</t>
  </si>
  <si>
    <t>Column Null Option</t>
  </si>
  <si>
    <t>Open Tax Lots Fact</t>
  </si>
  <si>
    <t>OPN_TAX_LOTS_FACT</t>
  </si>
  <si>
    <t>Acat Type</t>
  </si>
  <si>
    <t>ACAT_TP</t>
  </si>
  <si>
    <t xml:space="preserve">MAXIT Source: = TAXLOT_DTL_OPN.ACATTYPE
RJT Source: None
Type of Transfer indicated by the external source when transferred using ACAT
Values
GFT = Gift
INH = Inherited
ITG  = Inherited Than Gifted
NTT = NonTaxable to Taxable
DRIP = A Direct Registration System (DRS)/Direct Reinvestment Plan
NULL = none
various other values are available as well
</t>
  </si>
  <si>
    <t>Name_desc</t>
  </si>
  <si>
    <t>Acat Type Code</t>
  </si>
  <si>
    <t>ACAT_TP_CD</t>
  </si>
  <si>
    <t>MAXIT Source: = TAXLOT_DTL_OPN.ACATTYPE
RJT Source: None
Type of Transfer Code indicated by the external source when transferred using ACAT
Values
GFT = Gift
INH = Inherited
ITG  = Inherited Than Gifted
NTT = NonTaxable to Taxable
DRIP = A Direct Registration System (DRS)/Direct Reinvestment Plan
NULL = none
various other values are available as well</t>
  </si>
  <si>
    <t>Code</t>
  </si>
  <si>
    <t xml:space="preserve">MAXIT Source: TAXLOT_DTL_OPN.AC_TP
RJT Source: TAX_LOT_OPN_MSTR.ACG_TP_CODE
Accounting type code from SIS (e.g., 1,2,6). 
1= Cash Account
2= Margin Account
3= Special lot 2019
5= Special lot 2013
6= Short margin Account
</t>
  </si>
  <si>
    <t>Code_01</t>
  </si>
  <si>
    <t>Accounting Type Dimension Id</t>
  </si>
  <si>
    <t>ACG_TP_DIM_ID</t>
  </si>
  <si>
    <t xml:space="preserve">MAXIT Source: TAXLOT_DTL_OPN.AC_TP
RJT Source: TAX_LOT_OPN_MSTR.ACG_TP_CODE
Lookup on Accounting Type Dimension
</t>
  </si>
  <si>
    <t>NINI</t>
  </si>
  <si>
    <t xml:space="preserve">Numeric identifier of the accounting type ID (e.g., 1006, 1001)
Lookup using Accounting type Code (MAXIT TAXLOT_DTL_OPN.AC_TP, RJT TAX_LOT_OPN_MSTR.ACG_TP_CODE)
</t>
  </si>
  <si>
    <t>MAXIT Source: TAXLOT_DTL_OPN.AC_TP
RJT Source: TAX_LOT_OPN_MSTR.ACG_TP_CODE
Lookup on Accounting Type Dimension
Accounting type name (e.g., cash account,margin account)</t>
  </si>
  <si>
    <t xml:space="preserve">Date on which the lot was acquired_x000D_
MAXIT source: TAXLOT_DTL_OPN.ACQ_DT_x000D_
RJT Source:TAX_LOT_OPN_MSTR.TD_x000D_
_x000D_
</t>
  </si>
  <si>
    <t>Date</t>
  </si>
  <si>
    <t>Acquired Date Dimension Id</t>
  </si>
  <si>
    <t>ACQ_DT_DIM_ID</t>
  </si>
  <si>
    <t>Synthetic Key identifying a single date in the DATE Dimension</t>
  </si>
  <si>
    <t>NOT NULL</t>
  </si>
  <si>
    <t xml:space="preserve">Adjusted cost for the Lot
MAXIT source: TAXLOT_DTL_OPN.ADJ_COST
RJT Source: TAX_LOT_OPN_ASOF	NML_CCY_ASOF_ADJ_COST_AMT
</t>
  </si>
  <si>
    <t>a</t>
  </si>
  <si>
    <t>Adjusted cost Not Accurate Flag</t>
  </si>
  <si>
    <t xml:space="preserve">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
</t>
  </si>
  <si>
    <t>Flag</t>
  </si>
  <si>
    <t>Arrangement Dimension Id</t>
  </si>
  <si>
    <t>AR_DIM_ID</t>
  </si>
  <si>
    <t>Arrangement Id for the account
MAXIT Source: TAX_LOT_DTL_OPN/CLS.AR_ID
RJT Source:TAX_LOT_OPN_MSTR.AR_ID
Lookup on AR_DIM using EFF_DT</t>
  </si>
  <si>
    <t>Arrangement Id for the account
MAXIT Source:TAX_LOT_DTL_OPN/CLS.AR_ID
RJT Source:TAX_LOT_OPN_MSTR.AR_ID</t>
  </si>
  <si>
    <t>NUMBER(9,0)</t>
  </si>
  <si>
    <t>Average Adjusted Cost per Unit</t>
  </si>
  <si>
    <t>AVG_ADJ_COST_PER_UNIT</t>
  </si>
  <si>
    <t>Calculated. See SRD</t>
  </si>
  <si>
    <t>Buy Trade Number</t>
  </si>
  <si>
    <t>BUY_TRD_NUM</t>
  </si>
  <si>
    <t xml:space="preserve">Trade number for the buy when lot was established with a buy transaction
MAXIT Source: TAXLOT_DTL_OPN.BUY_TRD_NUM
RJT Source: TAX_LOT_OPN_MSTR.TRD_NUM
</t>
  </si>
  <si>
    <t xml:space="preserve">Product Id assigned by CCAL
MAXIT Source: TAX_LOT_DTL_OPN/CLS.PD_ID
RJT Source: TAX_LOT_OPN_MSTR.CCAL_PD_ID
</t>
  </si>
  <si>
    <t xml:space="preserve">MAXIT Source:TAXLOT_DTL_OPN.CTF_NUM
RJT Source: TAX_LOT_OPN_MSTR.TAX_LOT_CTF_NUM
</t>
  </si>
  <si>
    <t xml:space="preserve">MAXIT Source:TAXLOT_DTL_OPN.CTF_NUM_PFX
RJT Source: TAX_LOT_OPN_MSTR.TAX_LOT_CTF_NUM_PFX
</t>
  </si>
  <si>
    <t>MAXIT Source: TAX_LOT_DTL_OPN/CLS.PD_ID
RJT Source: TAX_LOT_OPN_MSTR.CCAL_PD_ID
Lookup on IMT_PD_DIM using CL_PD_ID
PD_ID from CIRD - can be used as join key if date context is supplied at query time</t>
  </si>
  <si>
    <t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t>
  </si>
  <si>
    <t xml:space="preserve">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
</t>
  </si>
  <si>
    <t xml:space="preserve">
For Brokerage if the covered uncovered from tax lot detail open table is C, then set to Y Otherwise, set to N
For RJ Trust accounts if the Covered Flag from the tax lot open master table is C, then set to Y Otherwise, set to N 
</t>
  </si>
  <si>
    <t>Cost Basis Shareholder Provided Code</t>
  </si>
  <si>
    <t>COST_BSS_SHRHLR_PVDD_CD</t>
  </si>
  <si>
    <t>Cost Basis provided by the client. Y=Yes, N= No other code values 0 (zero) and Null. We do not have documentation on these codes
MAXIT Source:TAXLOT_DTL_OPN.BSS_SHP 
RJT Source: None</t>
  </si>
  <si>
    <t>The name that represents the user who created an occurrence of a/an Open Tax Lots Fact.</t>
  </si>
  <si>
    <t>VARCHAR2(255)</t>
  </si>
  <si>
    <t xml:space="preserve">MAXIT Source: TAXLOT_DTL_OPN.CCY_CODE
RJT Source: TAX_LOT_OPN_ASOF.NML_ISO_CCY_CODE
</t>
  </si>
  <si>
    <t>Disallowed Wash sale Amount</t>
  </si>
  <si>
    <t xml:space="preserve">MAXIT Source: TAXLOT_DTL_OPN.DISALWD_WASHSALE_AMT
RJT Source: TAX_LOT_OPN_MSTR.NML_CCY_WASH_SALE_AMT
</t>
  </si>
  <si>
    <t>Dual Basis Flag</t>
  </si>
  <si>
    <t>DUAL_BSS_F</t>
  </si>
  <si>
    <t xml:space="preserve">Possible values
 Y = Record is a depreciated dual basis gift
 N  = Record is not a depreciated dual basis gift
For Brokerage accounts
 If the ACAT type is null and the Original Transaction Type is GFT from tax lot detail open And Fair market value from tax lot detail open is greater than zero And Adjusted cost amount from tax lot detail open is greater than zero And Fair market value is less than or equal to adjusted cost amount then Set to Y
 or
 If the ACAT Type is GFT or ITG from tax lot detail open and Fair market value from tax lot detail open is greater than zero And Adjusted cost amount from tax lot detail open is greater than zero And Fair market value is less than or equal to adjusted cost amount then Set to Y
 Otherwise, set to N
For RJ Trust accounts
 If the Tax Lot Transaction Type Identifier is 2851 from the tax lot open master table and the SBC As Of Fair Market Value from the tax lot open as of table is greater than zero and the SBC As Of Adjusted Cost Amount from the tax lot open as of table is greater than zero and the SBC As Of Fair Market Value is less than or equal to the SBC As Of Adjusted Cost Amount then Set to Y
 Otherwise, set to N
</t>
  </si>
  <si>
    <t>EFf_DT</t>
  </si>
  <si>
    <t xml:space="preserve">MAXIT Source: TAXLOT_DTL_OPN.EFF_DT_x000D_
RJT Source: TAX_LOT_OPN_ASOF.EFF_FM_DT_x000D_
_x000D_
</t>
  </si>
  <si>
    <t>Effective Date Dimension Id</t>
  </si>
  <si>
    <t>EFF_DT_DIM_ID</t>
  </si>
  <si>
    <t xml:space="preserve">MAXIT Source: TAXLOT_DTL_OPN.END_DT
RJT Source: TAX_LOT_OPN_ASOF.EFF_TO_DT
</t>
  </si>
  <si>
    <t>End Date Dimension Id</t>
  </si>
  <si>
    <t>END_DT_DIM_ID</t>
  </si>
  <si>
    <t xml:space="preserve">
MAXIT Source: TAXLOT_DTL_OPN.EXG_RATE
RJT Source: TAX_LOT_OPN_ASOF.SBC_EXG_RATE
</t>
  </si>
  <si>
    <t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</si>
  <si>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 xml:space="preserve">MAXIT Source: TAXLOT_DTL_OPN.GIFT_DT
RJT Source: TAX_LOT_OPN_MSTR.GIFT_DT
For gifted tax lots this gives date of gift.
Source: GIFT_DT
</t>
  </si>
  <si>
    <t>Gift Date Dimension Id</t>
  </si>
  <si>
    <t>GIFT_DT_DIM_ID</t>
  </si>
  <si>
    <t>Investment Product Dimension Id</t>
  </si>
  <si>
    <t>IMT_PD_DIM_ID</t>
  </si>
  <si>
    <t xml:space="preserve">MAXIT Source: TAX_LOT_DTL_OPN/CLS.PD_ID
RJT Source: TAX_LOT_OPN_MSTR.CCAL_PD_ID
Lookup on IMT_PD_DIM using CL_PD_ID
</t>
  </si>
  <si>
    <t>The name that represents the user or application who inserted, updated, or deleted each occurrence of Open Tax Lots Fact.</t>
  </si>
  <si>
    <t>Life to Date Market Discount</t>
  </si>
  <si>
    <t>Life to date market discount amount_x000D_
_x000D_
Total market discount accrued since the purchase of the bond_x000D_
_x000D_
MAXIT Source: TAXLOT_DTL_OPN.LTD_MKT_DISCOUNT</t>
  </si>
  <si>
    <t>Frozen</t>
  </si>
  <si>
    <t xml:space="preserve">A value that represents the tax lot being a long or short position.
Valid Values:
L = Long
S = Short
MAXIT Source: TAXLOT_DTL_OPN.LONG_SHRT_POS
rjt sOURCE: TAX_LOT_OPN_MSTR.POS_LONG_SHRT_CODE
</t>
  </si>
  <si>
    <t xml:space="preserve">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
</t>
  </si>
  <si>
    <t xml:space="preserve">Indicates that Cost basis is not available for this position
MAXIT Source: TAXLOT_DTL_OPN.MISS_COST_F
RJT Source: TAX_LOT_OPN_MSTR.MISS_COST_F
</t>
  </si>
  <si>
    <t>missing invest cost flag</t>
  </si>
  <si>
    <t xml:space="preserve">For Brokerage accounts_x000D_
 If the reinvest flag from tax lot detail open is not equal to Y_x000D_
  If the missing cost flag from tax lot detail open is Y, then set to Y_x000D_
  If the missing average cost flag (null flag) from tax lot detail open is Y, then set to Y_x000D_
 Otherwise, set to N_x000D_
_x000D_
For RJ Trust accounts_x000D_
 If the reinvest flag from tax lot open master is not equal to Y_x000D_
  If the Missing Cost Flag from the tax lot open master table is Y, then set to Y_x000D_
  If the Null Basis Flag from the tax lot open master table is Y, then set to Y_x000D_
?Otherwise, set to N_x000D_
_x000D_
</t>
  </si>
  <si>
    <t xml:space="preserve">Price_factor of opening transaction
Used for factored bonds
MAXIT Source: TAXLOT_DTL_OPN.OPN_FCTR
RJT Source: TAX_LOT_OPN_MSTR.NML_CCY_OPN_PRC_FCTR
</t>
  </si>
  <si>
    <t>Open Tax Lots Fact Id</t>
  </si>
  <si>
    <t>OPN_TAX_LOTS_FACT_ID</t>
  </si>
  <si>
    <t>surrogate key of the table</t>
  </si>
  <si>
    <t xml:space="preserve">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
"
</t>
  </si>
  <si>
    <t>Original acquisition date</t>
  </si>
  <si>
    <t>ORIG_ACQ_DT</t>
  </si>
  <si>
    <t>Original acquired date is unique and not similar to Acquires date. ORIG_ACQUI_DATE  is the acquisition date of the lot, but currently it is only being populated when there is a return of capital payment and it pushes the cost below zero.  We currently only display these lots on our tax extract and they are shown on the client’s 1099, however that does not mean we will not display them within other application in the future.</t>
  </si>
  <si>
    <t xml:space="preserve">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
</t>
  </si>
  <si>
    <t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t>
  </si>
  <si>
    <t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t>
  </si>
  <si>
    <t>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t>
  </si>
  <si>
    <t xml:space="preserve">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
</t>
  </si>
  <si>
    <t>Position Inception Date Dimension Id</t>
  </si>
  <si>
    <t>POS_INCPTN_DT_DIM_ID</t>
  </si>
  <si>
    <t xml:space="preserve">MAXIT Source:TAXLOT_DTL_OPN. PREMIUM
RJT Source: None
option premium amount added to the underlying stock when an option is assigned to the holder.
</t>
  </si>
  <si>
    <t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t>
  </si>
  <si>
    <t xml:space="preserve">MAXIT Source: TAXLOT_DTL_OPN.RVST_F
RJT Source: TAX_LOT_OPN_MSTR.RVST_F
For MAXIT it is RJ Derived
When original_tran_type = DRP, set to Y
ELSE set to N 
"	
</t>
  </si>
  <si>
    <t xml:space="preserve">Settlement date of Open/close transaction supplied by RJ or created by Maxit for corporate actions.
MAXIT Source: TAXLOT_DTL_OPN.SD
RJT Source: TAX_LOT_OPN_MSTR.SD
 </t>
  </si>
  <si>
    <t>Settlement Date Dimension Id</t>
  </si>
  <si>
    <t>SD_DIM_ID</t>
  </si>
  <si>
    <t>Source Effective Date</t>
  </si>
  <si>
    <t>SRC_EFF_DT</t>
  </si>
  <si>
    <t xml:space="preserve">MAXIT Source: SRC_EFF_DT
Transaction date from Maxit.  
Populated on both open and closed tax lots.
corresponds to FABook c_effective_date in the closed tax lot table. 
</t>
  </si>
  <si>
    <t xml:space="preserve">MAXIT Source: CCAL_TAXLOT_OWNER.TAXLOT_DTL_OPN/CLS.RCRD_TP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t>
  </si>
  <si>
    <t xml:space="preserve">MAXIT: Hardcode ??? We need to setup a source system
RJT Source: TAX_LOT_OPN_MSTR.SRC_STM_ID
</t>
  </si>
  <si>
    <t>Source System Dimension Id</t>
  </si>
  <si>
    <t>SRC_STM_DIM_ID</t>
  </si>
  <si>
    <t>Surrogate Key for Source system dim</t>
  </si>
  <si>
    <t xml:space="preserve">Name of the source system e.g., SIS - Securities Industry Software, Raymond James, Raymond James Bank, Shadow Suite
MAXIT: Hardcode ??? We need to setup a source system
RJT Source: TAX_LOT_OPN_MSTR.SRC_STM_ID
</t>
  </si>
  <si>
    <t>system Base Currency Adjusted Cost</t>
  </si>
  <si>
    <t>System Base Currency Disallowed Wash sale Amount</t>
  </si>
  <si>
    <t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</si>
  <si>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 xml:space="preserve">MAXIT Source: TAXLOT_DTL_OPN.UC
RJT Source: TAX_LOT_OPN_ASOF.NML_CCY_ASOF_PER_UC_AMT
</t>
  </si>
  <si>
    <t xml:space="preserve">MAXIT source: MAXIT_IFCE_SEQ_ID
RJT Source: TAX_LOT_OPN_MSTR.TAX_LOT_EXT_REFR_KEY_PRIM
</t>
  </si>
  <si>
    <t xml:space="preserve">SOurce: TAXLOT_DTL_OPN.REL_LOT_ID
RJT Source: TAX_LOT_OPN_MSTR.TAX_LOT_EXT_REFR_KEY_QTRNY
</t>
  </si>
  <si>
    <t xml:space="preserve">source:TAXLOT_DTL_OPN.MAXIT_REL_IFCE_SEQ_ID
RJT Source: TAX_LOT_OPN_MSTR.TAX_LOT_EXT_REFR_KEY_SCDY
</t>
  </si>
  <si>
    <t>Source: TAXLOT_DTL_OPN.MAXIT_TXN_LOT_ID
RJT Source: TAX_LOT_OPN_MSTR.TAX_LOT_EXT_REFR_KEY_TRTY</t>
  </si>
  <si>
    <t xml:space="preserve">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
</t>
  </si>
  <si>
    <t xml:space="preserve">MAXIT Source: TAXLOT_DTL_OPN.TRD_NUM
</t>
  </si>
  <si>
    <t>Trade_num</t>
  </si>
  <si>
    <t>transaction initiate date</t>
  </si>
  <si>
    <t xml:space="preserve">MAXIT Source:TAXLOT_DTL_OPN.TXN_INIT_DT_x000D_
RJT Source: TAX_LOT_OPN_MSTR.TXN_INTT_DT_x000D_
_x000D_
</t>
  </si>
  <si>
    <t>transaction initiate date dimension id</t>
  </si>
  <si>
    <t>TXN_INTT_DT_DIM_ID</t>
  </si>
  <si>
    <t xml:space="preserve">MAXIT Source: TAXLOT_DTL_OPN.TXN_TP
RJT Source: TAX_LOT_OPN_MSTR.ORIG_TAX_LOT_TXN_TP_ID
</t>
  </si>
  <si>
    <t>MAXIT Source: TAXLOT_DTL_OPN.WASH_SALE_IND
RJT Source: TAX_LOT_OPN_MSTR.WASH_SALE_F
WASH_SALE_IND on Source. Y= Wash Sale Sublot</t>
  </si>
  <si>
    <t>Wash Sale Type 
from SRD</t>
  </si>
  <si>
    <t xml:space="preserve">MAXIT Source TAXLOT_DTL_OPN.ZERO_BSS_IND
RJT Source: TAX_LOT_OPN_MSTR.ZERO_BSS_IND_F
</t>
  </si>
  <si>
    <t>DATA_TYPE</t>
  </si>
  <si>
    <t>NULLABLE</t>
  </si>
  <si>
    <t>DATA_DEFAULT</t>
  </si>
  <si>
    <t>COLUMN_ID</t>
  </si>
  <si>
    <t>COMMENTS</t>
  </si>
  <si>
    <t>VARCHAR2(500 BYTE)</t>
  </si>
  <si>
    <t>MAXIT Source: = TAXLOT_DTL_OPN.ACATTYPE
RJT Source: None
Type of Transfer indicated by the external source when transferred using ACAT
Values
GFT = Gift
INH = Inherited
ITG  = Inherited Than Gifted
NTT = NonTaxable to Taxable
DRIP = A Direct Registration System (DRS)/Direct Reinvestment Plan
NULL = none
various other values are available as well</t>
  </si>
  <si>
    <t>VARCHAR2(40 BYTE)</t>
  </si>
  <si>
    <t>MAXIT Source: = TAXLOT_DTL_OPN.ACATTYPE
RJT Source: None
Type of Transfer Code indicated by the external source when transferred using ACAT
Values
GFT = Gift
INH = Inherited
ITG  = Inherited Than Gifted
NTT = NonTaxable to Taxable
DRIP = A Direct Registration System (DRS)/Direct Reinvestment Plan
NULL = none
various other values are available as well</t>
  </si>
  <si>
    <t>VARCHAR2(1 BYTE)</t>
  </si>
  <si>
    <t>MAXIT Source: TAXLOT_DTL_OPN.AC_TP
RJT Source: TAX_LOT_OPN_MSTR.ACG_TP_CODE
Accounting type code from SIS (e.g., 1,2,6). 
1= Cash Account
2= Margin Account
3= Special lot 2019
5= Special lot 2013
6= Short margin Account</t>
  </si>
  <si>
    <t>MAXIT Source: TAXLOT_DTL_OPN.AC_TP RJT Source: TAX_LOT_OPN_MSTR.ACG_TP_CODE Lookup on Accounting Type Dimension</t>
  </si>
  <si>
    <t xml:space="preserve">Numeric identifier of the accounting type ID (e.g., 1006, 1001) Lookup using Accounting type Code (MAXIT TAXLOT_DTL_OPN.AC_TP, RJT TAX_LOT_OPN_MSTR.ACG_TP_CODE) </t>
  </si>
  <si>
    <t>MAXIT Source: TAXLOT_DTL_OPN.AC_TP RJT Source: TAX_LOT_OPN_MSTR.ACG_TP_CODE
Lookup on Accounting Type Dimension
Accounting type name (e.g., cash account,margin account)</t>
  </si>
  <si>
    <t>Date on which the lot was acquired
MAXIT source: TAXLOT_DTL_OPN.ACQ_DT
RJT Source:TAX_LOT_OPN_MSTR.TD</t>
  </si>
  <si>
    <t>Adjusted cost for the Lot
MAXIT source: TAXLOT_DTL_OPN.ADJ_COST
RJT Source: TAX_LOT_OPN_ASOF	NML_CCY_ASOF_ADJ_COST_AMT</t>
  </si>
  <si>
    <t>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t>
  </si>
  <si>
    <t>Arrangement Id for the account
MAXIT Source: TAX_LOT_DTL_OPN/CLS.AR_ID
RJT Source:TAX_LOT_OPN_MSTR.AR_ID
Lookup on AR_DIM using EFF_DT</t>
  </si>
  <si>
    <t>Arrangement Id for the account MAXIT Source:TAX_LOT_DTL_OPN/CLS.AR_ID RJT Source:TAX_LOT_OPN_MSTR.AR_ID</t>
  </si>
  <si>
    <t>VARCHAR2(80 BYTE)</t>
  </si>
  <si>
    <t>Trade number for the buy when lot was established with a buy transaction
MAXIT Source: TAXLOT_DTL_OPN.BUY_TRD_NUM
RJT Source: TAX_LOT_OPN_MSTR.TRD_NUM</t>
  </si>
  <si>
    <t>Product Id assigned by CCAL
MAXIT Source: TAX_LOT_DTL_OPN/CLS.PD_ID
RJT Source: TAX_LOT_OPN_MSTR.CCAL_PD_ID</t>
  </si>
  <si>
    <t>VARCHAR2(7 BYTE)</t>
  </si>
  <si>
    <t>MAXIT Source: TAXLOT_DTL_OPN.CCY_CODE RJT Source: TAX_LOT_OPN_ASOF.NML_ISO_CCY_CODE</t>
  </si>
  <si>
    <t>MAXIT Source: TAX_LOT_DTL_OPN/CLS.PD_ID RJT Source: TAX_LOT_OPN_MSTR.CCAL_PD_ID
Lookup on IMT_PD_DIM using CL_PD_ID PD_ID from CIRD - can be used as join key if date context is supplied at query time</t>
  </si>
  <si>
    <t>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t>
  </si>
  <si>
    <t>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t>
  </si>
  <si>
    <t xml:space="preserve">
For Brokerage if the covered uncovered from tax lot detail open table is C, then set to Y Otherwise, set to N
For RJ Trust accounts if the Covered Flag from the tax lot open master table is C, then set to Y Otherwise, set to N </t>
  </si>
  <si>
    <t xml:space="preserve">SYSDATE  </t>
  </si>
  <si>
    <t>VARCHAR2(256 BYTE)</t>
  </si>
  <si>
    <t xml:space="preserve">USER  </t>
  </si>
  <si>
    <t>The name that represents the user who created an occurrence of a/an Position Open Tax Lots Fact.</t>
  </si>
  <si>
    <t>MAXIT Source:TAXLOT_DTL_OPN.CTF_NUM RJT Source: TAX_LOT_OPN_MSTR.TAX_LOT_CTF_NUM</t>
  </si>
  <si>
    <t>MAXIT Source:TAXLOT_DTL_OPN.CTF_NUM_PFX RJT Source: TAX_LOT_OPN_MSTR.TAX_LOT_CTF_NUM_PFX</t>
  </si>
  <si>
    <t>MAXIT Source: TAXLOT_DTL_OPN.DISALWD_WASHSALE_AMT RJT Source: TAX_LOT_OPN_MSTR.NML_CCY_WASH_SALE_AMT</t>
  </si>
  <si>
    <t>Possible values
 Y = Record is a depreciated dual basis gift
 N  = Record is not a depreciated dual basis gift
For Brokerage accounts
 If the ACAT type is null and the Original Transaction Type is GFT from tax lot detail open And Fair market value from tax lot detail open is greater than zero And Adjusted cost amount from tax lot detail open is greater than zero And Fair market value is less than or equal to adjusted cost amount then Set to Y
 or
 If the ACAT Type is GFT or ITG from tax lot detail open and Fair market value from tax lot detail open is greater than zero And Adjusted cost amount from tax lot detail open is greater than zero And Fair market value is less than or equal to adjusted cost amount then Set to Y
 Otherwise, set to N
For RJ Trust accounts
 If the Tax Lot Transaction Type Identifier is 2851 from the tax lot open master table and the SBC As Of Fair Market Value from the tax lot open as of table is greater than zero and the SBC As Of Adjusted Cost Amount from the tax lot open as of table is greater than zero and the SBC As Of Fair Market Value is less than or equal to the SBC As Of Adjusted Cost Amount then Set to Y
 Otherwise, set to N</t>
  </si>
  <si>
    <t>MAXIT Source: TAXLOT_DTL_OPN.EFF_DT RJT Source: TAX_LOT_OPN_ASOF.EFF_FM_DT</t>
  </si>
  <si>
    <t>MAXIT Source: TAXLOT_DTL_OPN.END_DT RJT Source: TAX_LOT_OPN_ASOF.EFF_TO_DT</t>
  </si>
  <si>
    <t xml:space="preserve">
MAXIT Source: TAXLOT_DTL_OPN.EXG_RATE
RJT Source: TAX_LOT_OPN_ASOF.SBC_EXG_RATE</t>
  </si>
  <si>
    <t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</si>
  <si>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MAXIT Source: TAXLOT_DTL_OPN.GIFT_DT RJT Source: TAX_LOT_OPN_MSTR.GIFT_DT For gifted tax lots this gives date of gift. Source: GIFT_DT</t>
  </si>
  <si>
    <t>Surrogate key for Instrument Product Dim</t>
  </si>
  <si>
    <t>The name that represents the user or application who inserted, updated, or deleted each occurrence of Position Open Tax Lots Fact.</t>
  </si>
  <si>
    <t>Life to date market discount amount Total market discount accrued since the purchase of the bond MAXIT Source: TAXLOT_DTL_OPN.LTD_MKT_DISCOUNT</t>
  </si>
  <si>
    <t>A value that represents the tax lot being a long or short position.
Valid Values:
L = Long
S = Short
MAXIT Source: TAXLOT_DTL_OPN.LONG_SHRT_POS
rjt sOURCE: TAX_LOT_OPN_MSTR.POS_LONG_SHRT_CODE</t>
  </si>
  <si>
    <t>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t>
  </si>
  <si>
    <t>Indicates that Cost basis is not available for this position
MAXIT Source: TAXLOT_DTL_OPN.MISS_COST_F
RJT Source: TAX_LOT_OPN_MSTR.MISS_COST_F</t>
  </si>
  <si>
    <t>For Brokerage accounts
  If the reinvest flag from tax lot detail open is not equal to Y
  If the missing cost flag from tax lot detail open is Y, then set to Y
  If the missing average cost flag (null flag) from tax lot detail open is Y, then set to Y
 Otherwise, set to N
For RJ Trust accounts
  If the reinvest flag from tax lot open master is not equal to Y
  If the Missing Cost Flag from the tax lot open master table is Y, then set to Y
  If the Null Basis Flag from the tax lot open master table is Y, then set to Y
 Otherwise, set to N</t>
  </si>
  <si>
    <t>Price_factor of opening transaction
Used for factored bonds
MAXIT Source: TAXLOT_DTL_OPN.OPN_FCTR
RJT Source: TAX_LOT_OPN_MSTR.NML_CCY_OPN_PRC_FCTR</t>
  </si>
  <si>
    <t>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t>
  </si>
  <si>
    <t>VARCHAR2(32 BYTE)</t>
  </si>
  <si>
    <t>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t>
  </si>
  <si>
    <t>Per share price of the opening tax lot.big_prc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t>
  </si>
  <si>
    <t>Net_amount of asgn sell before adding premium.
Note: This field cannot be used currently as it is not prorated or adjusted for changes/actions/partial sells where a change in quantity is made.
MAXIT Source: TAXLOT_DTL_OPN.ORIG_PROCD
RJT Source: TAX_LOT_OPN_MSTR.NML_CCY_ORIG_PROCD_AMT</t>
  </si>
  <si>
    <t>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t>
  </si>
  <si>
    <t>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t>
  </si>
  <si>
    <t>MAXIT Source:TAXLOT_DTL_OPN. PREMIUM
RJT Source: None
option premium amount added to the underlying stock when an option is assigned to the holder.</t>
  </si>
  <si>
    <t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t>
  </si>
  <si>
    <t xml:space="preserve">MAXIT Source: TAXLOT_DTL_OPN.RVST_F
RJT Source: TAX_LOT_OPN_MSTR.RVST_F
For MAXIT it is RJ Derived
When original_tran_type = DRP, set to Y
ELSE set to N "	</t>
  </si>
  <si>
    <t>Adjusted cost for the Lot MAXIT source: TAXLOT_DTL_OPN.ADJ_COST RJT Source: TAX_LOT_OPN_ASOF	NML_CCY_ASOF_ADJ_COST_AMT</t>
  </si>
  <si>
    <t>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t>
  </si>
  <si>
    <t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</si>
  <si>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Price_factor of opening transaction 
Used for factored bonds
MAXIT Source: TAXLOT_DTL_OPN.OPN_FCTR
RJT Source: TAX_LOT_OPN_MSTR.NML_CCY_OPN_PRC_FCTR</t>
  </si>
  <si>
    <t>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t>
  </si>
  <si>
    <t>MAXIT Source: TAXLOT_DTL_OPN.UC RJT Source: TAX_LOT_OPN_ASOF.NML_CCY_ASOF_PER_UC_AMT</t>
  </si>
  <si>
    <t>Settlement date of Open/close transaction supplied by RJ or created by Maxit for corporate actions.
MAXIT Source: TAXLOT_DTL_OPN.SD
RJT Source: TAX_LOT_OPN_MSTR.SD</t>
  </si>
  <si>
    <t xml:space="preserve">MAXIT Source: SRC_EFF_DT
Transaction date from Maxit.  
Populated on both open and closed tax lots.
corresponds to FABook c_effective_date in the closed tax lot table. </t>
  </si>
  <si>
    <t xml:space="preserve">MAXIT Source: 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t>
  </si>
  <si>
    <t>MAXIT: Hardcode ??? We need to setup a source system RJT Source: TAX_LOT_OPN_MSTR.SRC_STM_ID</t>
  </si>
  <si>
    <t xml:space="preserve">MAXIT: Hardcode ??? We need to setup a source system RJT Source: TAX_LOT_OPN_MSTR.SRC_STM_ID </t>
  </si>
  <si>
    <t>VARCHAR2(60 BYTE)</t>
  </si>
  <si>
    <t>Name of the source system e.g., SIS - Securities Industry Software, Raymond James, Raymond James Bank, Shadow Suite
MAXIT: Hardcode ??? We need to setup a source system RJT Source: TAX_LOT_OPN_MSTR.SRC_STM_ID</t>
  </si>
  <si>
    <t>VARCHAR2(50 BYTE)</t>
  </si>
  <si>
    <t>MAXIT source: MAXIT_IFCE_SEQ_ID RJT Source: TAX_LOT_OPN_MSTR.TAX_LOT_EXT_REFR_KEY_PRIM</t>
  </si>
  <si>
    <t>SOurce: TAXLOT_DTL_OPN.REL_LOT_ID RJT Source: TAX_LOT_OPN_MSTR.TAX_LOT_EXT_REFR_KEY_QTRNY</t>
  </si>
  <si>
    <t>source:TAXLOT_DTL_OPN.MAXIT_REL_IFCE_SEQ_ID RJT Source: TAX_LOT_OPN_MSTR.TAX_LOT_EXT_REFR_KEY_SCDY</t>
  </si>
  <si>
    <t>Source: TAXLOT_DTL_OPN.MAXIT_TXN_LOT_ID RJT Source: TAX_LOT_OPN_MSTR.TAX_LOT_EXT_REFR_KEY_TRTY</t>
  </si>
  <si>
    <t>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t>
  </si>
  <si>
    <t>MAXIT Source: TAXLOT_DTL_OPN.TRD_NUM</t>
  </si>
  <si>
    <t>MAXIT Source:TAXLOT_DTL_OPN.TXN_INIT_DT RJT Source: TAX_LOT_OPN_MSTR.TXN_INTT_DT</t>
  </si>
  <si>
    <t>MAXIT Source: TAXLOT_DTL_OPN.TXN_TP RJT Source: TAX_LOT_OPN_MSTR.ORIG_TAX_LOT_TXN_TP_ID</t>
  </si>
  <si>
    <t>MAXIT Source: TAXLOT_DTL_OPN.WASH_SALE_IND RJT Source: TAX_LOT_OPN_MSTR.WASH_SALE_F WASH_SALE_IND on Source. Y= Wash Sale Sublot</t>
  </si>
  <si>
    <t>Wash Sale Type from SRD</t>
  </si>
  <si>
    <t>VARCHAR2(2 BYTE)</t>
  </si>
  <si>
    <t>MAXIT Source TAXLOT_DTL_OPN.ZERO_BSS_IND RJT Source: TAX_LOT_OPN_MSTR.ZERO_BSS_IND_F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</si>
</sst>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3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b/>
      <u/>
      <sz val="11"/>
      <name val="Calibri"/>
      <family val="2"/>
      <scheme val="minor"/>
    </font>
    <font>
      <b/>
      <sz val="14"/>
      <color rgb="FFFF0000"/>
      <name val="Calibri"/>
      <family val="2"/>
      <scheme val="minor"/>
    </font>
    <font>
      <b/>
      <sz val="11"/>
      <color rgb="FFFF0000"/>
      <name val="Calibri"/>
      <family val="2"/>
      <scheme val="minor"/>
    </font>
    <font>
      <b/>
      <sz val="12"/>
      <color rgb="FF000000"/>
      <name val="Calibri"/>
      <family val="2"/>
      <scheme val="minor"/>
    </font>
    <font>
      <sz val="10"/>
      <color rgb="FF000000"/>
      <name val="Calibri"/>
      <family val="2"/>
      <scheme val="minor"/>
    </font>
    <font>
      <sz val="11"/>
      <name val="Dialog"/>
    </font>
  </fonts>
  <fills count="92">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theme="7" tint="0.79998168889431442"/>
        <bgColor indexed="64"/>
      </patternFill>
    </fill>
    <fill>
      <patternFill patternType="solid">
        <fgColor rgb="FFFFFF00"/>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s>
  <cellStyleXfs count="3954">
    <xf numFmtId="0" fontId="0" fillId="0" borderId="0"/>
    <xf numFmtId="0" fontId="1" fillId="2" borderId="1" applyNumberFormat="0" applyFont="0" applyAlignment="0" applyProtection="0"/>
    <xf numFmtId="0" fontId="4" fillId="0" borderId="0"/>
    <xf numFmtId="14" fontId="4" fillId="0" borderId="0" applyProtection="0"/>
    <xf numFmtId="164" fontId="4" fillId="0" borderId="0" applyProtection="0"/>
    <xf numFmtId="0" fontId="5" fillId="0" borderId="0"/>
    <xf numFmtId="0" fontId="5" fillId="0" borderId="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9" applyNumberFormat="0" applyAlignment="0" applyProtection="0"/>
    <xf numFmtId="0" fontId="13" fillId="7" borderId="10" applyNumberFormat="0" applyAlignment="0" applyProtection="0"/>
    <xf numFmtId="0" fontId="14" fillId="7" borderId="9" applyNumberFormat="0" applyAlignment="0" applyProtection="0"/>
    <xf numFmtId="0" fontId="15" fillId="0" borderId="11" applyNumberFormat="0" applyFill="0" applyAlignment="0" applyProtection="0"/>
    <xf numFmtId="0" fontId="16" fillId="8" borderId="12"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 fillId="0" borderId="13" applyNumberFormat="0" applyFill="0" applyAlignment="0" applyProtection="0"/>
    <xf numFmtId="0" fontId="19"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9" fillId="32" borderId="0" applyNumberFormat="0" applyBorder="0" applyAlignment="0" applyProtection="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165" fontId="5" fillId="0" borderId="0"/>
    <xf numFmtId="0" fontId="23" fillId="0" borderId="0">
      <alignment horizontal="center"/>
    </xf>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6" fillId="0" borderId="0" applyNumberFormat="0" applyFill="0" applyBorder="0" applyAlignment="0" applyProtection="0"/>
    <xf numFmtId="0" fontId="25" fillId="0" borderId="0"/>
    <xf numFmtId="166" fontId="5" fillId="0" borderId="18"/>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8" fillId="0" borderId="0"/>
    <xf numFmtId="165" fontId="28" fillId="0" borderId="0"/>
    <xf numFmtId="167" fontId="23" fillId="0" borderId="0" applyFont="0" applyFill="0" applyBorder="0" applyAlignment="0" applyProtection="0">
      <protection locked="0"/>
    </xf>
    <xf numFmtId="165" fontId="28" fillId="0" borderId="0">
      <alignment horizontal="right"/>
    </xf>
    <xf numFmtId="168" fontId="5" fillId="0" borderId="0"/>
    <xf numFmtId="168" fontId="5" fillId="0" borderId="0"/>
    <xf numFmtId="168" fontId="5" fillId="0" borderId="0"/>
    <xf numFmtId="169" fontId="5" fillId="0" borderId="0"/>
    <xf numFmtId="169" fontId="5" fillId="0" borderId="0"/>
    <xf numFmtId="169" fontId="5" fillId="0" borderId="0"/>
    <xf numFmtId="170" fontId="5" fillId="0" borderId="0"/>
    <xf numFmtId="170" fontId="5" fillId="0" borderId="0"/>
    <xf numFmtId="170" fontId="5" fillId="0" borderId="0"/>
    <xf numFmtId="171" fontId="5" fillId="0" borderId="0"/>
    <xf numFmtId="171" fontId="5" fillId="0" borderId="0"/>
    <xf numFmtId="171" fontId="5" fillId="0" borderId="0"/>
    <xf numFmtId="172" fontId="5" fillId="0" borderId="0"/>
    <xf numFmtId="172" fontId="5" fillId="0" borderId="0"/>
    <xf numFmtId="172" fontId="5" fillId="0" borderId="0"/>
    <xf numFmtId="173" fontId="5" fillId="0" borderId="0"/>
    <xf numFmtId="173" fontId="5" fillId="0" borderId="0"/>
    <xf numFmtId="173" fontId="5" fillId="0" borderId="0"/>
    <xf numFmtId="0" fontId="5" fillId="0" borderId="0"/>
    <xf numFmtId="0" fontId="5" fillId="0" borderId="0"/>
    <xf numFmtId="0" fontId="5" fillId="0" borderId="0"/>
    <xf numFmtId="174" fontId="29" fillId="0" borderId="0" applyFont="0" applyFill="0" applyBorder="0" applyAlignment="0" applyProtection="0"/>
    <xf numFmtId="0" fontId="5" fillId="0" borderId="0"/>
    <xf numFmtId="37" fontId="30" fillId="0" borderId="0" applyAlignment="0" applyProtection="0"/>
    <xf numFmtId="0" fontId="23" fillId="0" borderId="0" applyFont="0" applyFill="0" applyBorder="0" applyAlignment="0"/>
    <xf numFmtId="0" fontId="23" fillId="0" borderId="0" applyFont="0" applyFill="0" applyBorder="0" applyAlignment="0"/>
    <xf numFmtId="0" fontId="31" fillId="0" borderId="0"/>
    <xf numFmtId="175" fontId="32" fillId="0" borderId="0" applyFont="0" applyFill="0" applyBorder="0" applyAlignment="0" applyProtection="0"/>
    <xf numFmtId="176" fontId="5" fillId="0" borderId="0" applyFont="0" applyFill="0" applyBorder="0" applyAlignment="0" applyProtection="0"/>
    <xf numFmtId="177" fontId="5" fillId="33" borderId="0"/>
    <xf numFmtId="40" fontId="32" fillId="0" borderId="0" applyFont="0" applyFill="0" applyBorder="0" applyAlignment="0" applyProtection="0"/>
    <xf numFmtId="0" fontId="33" fillId="0" borderId="0" applyNumberFormat="0" applyFill="0" applyBorder="0" applyAlignment="0" applyProtection="0">
      <alignment vertical="top"/>
      <protection locked="0"/>
    </xf>
    <xf numFmtId="38" fontId="32" fillId="0" borderId="0" applyFont="0" applyFill="0" applyBorder="0" applyAlignment="0" applyProtection="0"/>
    <xf numFmtId="0" fontId="34" fillId="0" borderId="0"/>
    <xf numFmtId="0" fontId="35" fillId="0" borderId="0"/>
    <xf numFmtId="17" fontId="36" fillId="0" borderId="0">
      <alignment horizontal="center"/>
    </xf>
    <xf numFmtId="178" fontId="5" fillId="0" borderId="0" applyFont="0" applyFill="0" applyBorder="0" applyAlignment="0" applyProtection="0"/>
    <xf numFmtId="179" fontId="5" fillId="0" borderId="0" applyFont="0" applyFill="0" applyBorder="0" applyAlignment="0" applyProtection="0"/>
    <xf numFmtId="0" fontId="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alignment horizontal="left" wrapText="1"/>
    </xf>
    <xf numFmtId="0" fontId="35" fillId="0" borderId="0"/>
    <xf numFmtId="0" fontId="5" fillId="0" borderId="0"/>
    <xf numFmtId="0" fontId="5" fillId="0" borderId="0"/>
    <xf numFmtId="0" fontId="5" fillId="0" borderId="0" applyNumberFormat="0" applyFill="0" applyBorder="0" applyAlignment="0" applyProtection="0"/>
    <xf numFmtId="0" fontId="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xf numFmtId="0" fontId="5" fillId="0" borderId="0"/>
    <xf numFmtId="0" fontId="25" fillId="0" borderId="0"/>
    <xf numFmtId="0" fontId="35" fillId="0" borderId="0"/>
    <xf numFmtId="0" fontId="2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2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NumberFormat="0" applyFill="0" applyBorder="0" applyAlignment="0" applyProtection="0"/>
    <xf numFmtId="0" fontId="24" fillId="0" borderId="0"/>
    <xf numFmtId="0" fontId="5" fillId="0" borderId="0">
      <alignment horizontal="left" wrapText="1"/>
    </xf>
    <xf numFmtId="0" fontId="5" fillId="0" borderId="0"/>
    <xf numFmtId="0" fontId="5" fillId="0" borderId="0"/>
    <xf numFmtId="0" fontId="5" fillId="0" borderId="0"/>
    <xf numFmtId="0" fontId="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xf numFmtId="0" fontId="5" fillId="0" borderId="0"/>
    <xf numFmtId="0" fontId="5" fillId="0" borderId="0"/>
    <xf numFmtId="0" fontId="25" fillId="0" borderId="0"/>
    <xf numFmtId="0" fontId="2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applyNumberForma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5" fillId="0" borderId="0" applyNumberFormat="0" applyFill="0" applyBorder="0" applyAlignment="0" applyProtection="0"/>
    <xf numFmtId="0" fontId="38" fillId="0" borderId="0"/>
    <xf numFmtId="0" fontId="37" fillId="0" borderId="0"/>
    <xf numFmtId="0" fontId="37" fillId="0" borderId="0"/>
    <xf numFmtId="0" fontId="37" fillId="0" borderId="0"/>
    <xf numFmtId="0" fontId="38"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Font="0" applyFill="0" applyBorder="0" applyAlignment="0" applyProtection="0"/>
    <xf numFmtId="0" fontId="24"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alignment horizontal="left" wrapText="1"/>
    </xf>
    <xf numFmtId="38" fontId="39" fillId="0" borderId="0" applyFont="0" applyFill="0" applyBorder="0" applyAlignment="0" applyProtection="0"/>
    <xf numFmtId="0" fontId="40" fillId="0" borderId="0">
      <alignment vertical="center"/>
    </xf>
    <xf numFmtId="0" fontId="40" fillId="0" borderId="0">
      <alignment vertical="center"/>
    </xf>
    <xf numFmtId="0" fontId="40" fillId="0" borderId="0">
      <alignment vertical="center"/>
    </xf>
    <xf numFmtId="0" fontId="5" fillId="0" borderId="0">
      <alignment horizontal="left" wrapText="1"/>
    </xf>
    <xf numFmtId="37" fontId="30" fillId="0" borderId="0" applyAlignment="0" applyProtection="0"/>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38" fontId="39"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pplyNumberFormat="0" applyFill="0" applyBorder="0" applyAlignment="0" applyProtection="0"/>
    <xf numFmtId="0" fontId="24" fillId="0" borderId="0"/>
    <xf numFmtId="0" fontId="35" fillId="0" borderId="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0" fontId="5" fillId="0" borderId="0">
      <alignment horizontal="left" wrapText="1"/>
    </xf>
    <xf numFmtId="0" fontId="5" fillId="0" borderId="0" applyNumberFormat="0" applyFill="0" applyBorder="0" applyAlignment="0" applyProtection="0"/>
    <xf numFmtId="0" fontId="35" fillId="0" borderId="0"/>
    <xf numFmtId="0" fontId="5" fillId="0" borderId="0"/>
    <xf numFmtId="0" fontId="5" fillId="0" borderId="0"/>
    <xf numFmtId="0" fontId="5"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38" fillId="0" borderId="0"/>
    <xf numFmtId="0" fontId="24" fillId="0" borderId="0"/>
    <xf numFmtId="0" fontId="24" fillId="0" borderId="0"/>
    <xf numFmtId="0" fontId="24" fillId="0" borderId="0"/>
    <xf numFmtId="0" fontId="5" fillId="0" borderId="0"/>
    <xf numFmtId="0" fontId="5" fillId="0" borderId="0"/>
    <xf numFmtId="0" fontId="5" fillId="0" borderId="0"/>
    <xf numFmtId="0" fontId="24" fillId="0" borderId="0"/>
    <xf numFmtId="37" fontId="30" fillId="0" borderId="0" applyAlignment="0" applyProtection="0"/>
    <xf numFmtId="0" fontId="5" fillId="0" borderId="0"/>
    <xf numFmtId="0" fontId="5" fillId="0" borderId="0"/>
    <xf numFmtId="37" fontId="30" fillId="0" borderId="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41"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41"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0" fontId="5" fillId="0" borderId="0"/>
    <xf numFmtId="0" fontId="5" fillId="0" borderId="0"/>
    <xf numFmtId="0" fontId="35" fillId="0" borderId="0"/>
    <xf numFmtId="0" fontId="35" fillId="0" borderId="0"/>
    <xf numFmtId="0" fontId="3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42" fillId="0" borderId="0">
      <alignment horizontal="left" wrapText="1"/>
    </xf>
    <xf numFmtId="0" fontId="43" fillId="0" borderId="0">
      <alignment horizontal="left" wrapText="1"/>
    </xf>
    <xf numFmtId="0" fontId="43" fillId="0" borderId="0">
      <alignment horizontal="left" wrapText="1"/>
    </xf>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5" fillId="0" borderId="0"/>
    <xf numFmtId="0" fontId="5" fillId="0" borderId="0">
      <alignment horizontal="left" wrapText="1"/>
    </xf>
    <xf numFmtId="0" fontId="5" fillId="0" borderId="0">
      <alignment horizontal="left" wrapText="1"/>
    </xf>
    <xf numFmtId="0" fontId="24" fillId="0" borderId="0"/>
    <xf numFmtId="0" fontId="37" fillId="0" borderId="0"/>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25" fillId="0" borderId="0"/>
    <xf numFmtId="0" fontId="25" fillId="0" borderId="0"/>
    <xf numFmtId="0" fontId="2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applyFont="0" applyFill="0" applyBorder="0" applyAlignment="0" applyProtection="0"/>
    <xf numFmtId="185" fontId="5" fillId="0" borderId="0" applyFont="0" applyFill="0" applyBorder="0" applyAlignment="0" applyProtection="0"/>
    <xf numFmtId="0" fontId="5" fillId="0" borderId="0"/>
    <xf numFmtId="0" fontId="5" fillId="0" borderId="0">
      <alignment horizontal="left" wrapText="1"/>
    </xf>
    <xf numFmtId="0" fontId="5" fillId="0" borderId="0"/>
    <xf numFmtId="0" fontId="44" fillId="0" borderId="0">
      <alignment vertical="center"/>
    </xf>
    <xf numFmtId="0" fontId="5" fillId="0" borderId="0"/>
    <xf numFmtId="0" fontId="5" fillId="0" borderId="0"/>
    <xf numFmtId="0" fontId="24" fillId="0" borderId="0"/>
    <xf numFmtId="0" fontId="5" fillId="0" borderId="0">
      <alignment horizontal="left" wrapText="1"/>
    </xf>
    <xf numFmtId="0" fontId="5" fillId="0" borderId="0"/>
    <xf numFmtId="0" fontId="37" fillId="0" borderId="0"/>
    <xf numFmtId="0" fontId="5" fillId="0" borderId="0"/>
    <xf numFmtId="0" fontId="24" fillId="0" borderId="0"/>
    <xf numFmtId="0" fontId="24" fillId="0" borderId="0"/>
    <xf numFmtId="0" fontId="25" fillId="0" borderId="0"/>
    <xf numFmtId="0" fontId="24" fillId="0" borderId="0"/>
    <xf numFmtId="0" fontId="5" fillId="0" borderId="0">
      <alignment horizontal="left" wrapText="1"/>
    </xf>
    <xf numFmtId="0" fontId="5" fillId="0" borderId="0"/>
    <xf numFmtId="0" fontId="5" fillId="0" borderId="0"/>
    <xf numFmtId="0" fontId="5" fillId="0" borderId="0"/>
    <xf numFmtId="0" fontId="38" fillId="0" borderId="0"/>
    <xf numFmtId="0" fontId="5" fillId="0" borderId="0">
      <alignment horizontal="left" wrapText="1"/>
    </xf>
    <xf numFmtId="0" fontId="5" fillId="0" borderId="0">
      <alignment horizontal="left" wrapText="1"/>
    </xf>
    <xf numFmtId="0" fontId="5" fillId="0" borderId="0"/>
    <xf numFmtId="0" fontId="3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8" fillId="0" borderId="0"/>
    <xf numFmtId="0" fontId="38" fillId="0" borderId="0"/>
    <xf numFmtId="0" fontId="38" fillId="0" borderId="0"/>
    <xf numFmtId="0" fontId="38" fillId="0" borderId="0"/>
    <xf numFmtId="0" fontId="38" fillId="0" borderId="0"/>
    <xf numFmtId="0" fontId="38" fillId="0" borderId="0"/>
    <xf numFmtId="0" fontId="5" fillId="0" borderId="0">
      <alignment horizontal="left" wrapText="1"/>
    </xf>
    <xf numFmtId="0" fontId="5" fillId="0" borderId="0">
      <alignment horizontal="left" wrapText="1"/>
    </xf>
    <xf numFmtId="38" fontId="39" fillId="0" borderId="0" applyFont="0" applyFill="0" applyBorder="0" applyAlignment="0" applyProtection="0"/>
    <xf numFmtId="38" fontId="39" fillId="0" borderId="0" applyFont="0" applyFill="0" applyBorder="0" applyAlignment="0" applyProtection="0"/>
    <xf numFmtId="0" fontId="5" fillId="0" borderId="0" applyNumberFormat="0" applyFill="0" applyBorder="0" applyAlignment="0" applyProtection="0"/>
    <xf numFmtId="0" fontId="5" fillId="0" borderId="0"/>
    <xf numFmtId="0" fontId="24" fillId="0" borderId="0"/>
    <xf numFmtId="0" fontId="35" fillId="0" borderId="0"/>
    <xf numFmtId="0" fontId="5" fillId="0" borderId="0"/>
    <xf numFmtId="0" fontId="5" fillId="0" borderId="0"/>
    <xf numFmtId="0" fontId="25" fillId="0" borderId="0"/>
    <xf numFmtId="0" fontId="25" fillId="0" borderId="0"/>
    <xf numFmtId="0" fontId="38" fillId="0" borderId="0"/>
    <xf numFmtId="0" fontId="37" fillId="0" borderId="0"/>
    <xf numFmtId="0" fontId="37" fillId="0" borderId="0"/>
    <xf numFmtId="0" fontId="37" fillId="0" borderId="0"/>
    <xf numFmtId="0" fontId="38" fillId="0" borderId="0"/>
    <xf numFmtId="0" fontId="38"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38" fillId="0" borderId="0"/>
    <xf numFmtId="0" fontId="37" fillId="0" borderId="0"/>
    <xf numFmtId="0" fontId="37" fillId="0" borderId="0"/>
    <xf numFmtId="0" fontId="37" fillId="0" borderId="0"/>
    <xf numFmtId="0" fontId="38" fillId="0" borderId="0"/>
    <xf numFmtId="0" fontId="38"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5" fillId="0" borderId="0"/>
    <xf numFmtId="0" fontId="5" fillId="0" borderId="0"/>
    <xf numFmtId="0" fontId="5" fillId="0" borderId="0"/>
    <xf numFmtId="0" fontId="5" fillId="0" borderId="0"/>
    <xf numFmtId="0" fontId="5" fillId="34" borderId="0"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37" fontId="30" fillId="0" borderId="0" applyAlignment="0" applyProtection="0"/>
    <xf numFmtId="0" fontId="5" fillId="0" borderId="0"/>
    <xf numFmtId="0" fontId="24" fillId="0" borderId="0"/>
    <xf numFmtId="0" fontId="5" fillId="0" borderId="0"/>
    <xf numFmtId="0" fontId="5" fillId="0" borderId="0">
      <alignment horizontal="left" wrapText="1"/>
    </xf>
    <xf numFmtId="0" fontId="24" fillId="0" borderId="0"/>
    <xf numFmtId="37" fontId="30" fillId="0" borderId="0" applyAlignment="0" applyProtection="0"/>
    <xf numFmtId="0" fontId="25" fillId="0" borderId="0"/>
    <xf numFmtId="0" fontId="25" fillId="0" borderId="0"/>
    <xf numFmtId="0" fontId="2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24" fillId="0" borderId="0"/>
    <xf numFmtId="0" fontId="24" fillId="0" borderId="0"/>
    <xf numFmtId="0" fontId="37" fillId="0" borderId="0"/>
    <xf numFmtId="0" fontId="24"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alignment horizontal="left" wrapText="1"/>
    </xf>
    <xf numFmtId="0" fontId="25" fillId="0" borderId="0"/>
    <xf numFmtId="0" fontId="5" fillId="0" borderId="0">
      <alignment horizontal="left" wrapText="1"/>
    </xf>
    <xf numFmtId="0" fontId="5" fillId="0" borderId="0"/>
    <xf numFmtId="38" fontId="3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xf numFmtId="0" fontId="35" fillId="0" borderId="0"/>
    <xf numFmtId="0" fontId="5" fillId="0" borderId="0">
      <alignment horizontal="left" wrapText="1"/>
    </xf>
    <xf numFmtId="0" fontId="24" fillId="0" borderId="0"/>
    <xf numFmtId="0" fontId="5" fillId="0" borderId="0"/>
    <xf numFmtId="0" fontId="25" fillId="0" borderId="0"/>
    <xf numFmtId="0" fontId="5" fillId="0" borderId="0"/>
    <xf numFmtId="0" fontId="5" fillId="0" borderId="0"/>
    <xf numFmtId="0" fontId="46" fillId="0" borderId="0">
      <alignment vertical="top"/>
    </xf>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9"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24" fillId="0" borderId="0"/>
    <xf numFmtId="0" fontId="24" fillId="0" borderId="0"/>
    <xf numFmtId="0" fontId="24"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190" fontId="5" fillId="0" borderId="0" applyFont="0" applyFill="0" applyBorder="0" applyAlignment="0" applyProtection="0"/>
    <xf numFmtId="191" fontId="47" fillId="0" borderId="19" applyFont="0" applyFill="0" applyBorder="0" applyProtection="0">
      <alignment horizontal="right"/>
    </xf>
    <xf numFmtId="192"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24" fillId="0" borderId="0"/>
    <xf numFmtId="0" fontId="24" fillId="0" borderId="0"/>
    <xf numFmtId="0" fontId="24"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37" fontId="30" fillId="0" borderId="0" applyAlignment="0" applyProtection="0"/>
    <xf numFmtId="0" fontId="5" fillId="0" borderId="0" applyFont="0" applyFill="0" applyBorder="0" applyAlignment="0" applyProtection="0"/>
    <xf numFmtId="37" fontId="30" fillId="0" borderId="0" applyAlignment="0" applyProtection="0"/>
    <xf numFmtId="0" fontId="24" fillId="0" borderId="0"/>
    <xf numFmtId="0" fontId="24"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5" fillId="0" borderId="0"/>
    <xf numFmtId="0" fontId="5" fillId="0" borderId="0"/>
    <xf numFmtId="0" fontId="5" fillId="0" borderId="0">
      <alignment horizontal="left" wrapText="1"/>
    </xf>
    <xf numFmtId="0" fontId="40" fillId="0" borderId="0">
      <alignment vertical="center"/>
    </xf>
    <xf numFmtId="0" fontId="5" fillId="0" borderId="0">
      <alignment horizontal="left" wrapText="1"/>
    </xf>
    <xf numFmtId="0" fontId="38" fillId="0" borderId="0"/>
    <xf numFmtId="0" fontId="24" fillId="0" borderId="0"/>
    <xf numFmtId="0" fontId="24" fillId="0" borderId="0"/>
    <xf numFmtId="0" fontId="24" fillId="0" borderId="0"/>
    <xf numFmtId="0" fontId="2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xf numFmtId="0" fontId="5" fillId="0" borderId="0"/>
    <xf numFmtId="0" fontId="5" fillId="0" borderId="0"/>
    <xf numFmtId="0" fontId="3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alignment horizontal="left" wrapText="1"/>
    </xf>
    <xf numFmtId="0" fontId="5" fillId="0" borderId="0">
      <alignment horizontal="left" wrapText="1"/>
    </xf>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5" fillId="0" borderId="0"/>
    <xf numFmtId="0" fontId="5" fillId="0" borderId="0">
      <alignment horizontal="left" wrapText="1"/>
    </xf>
    <xf numFmtId="0" fontId="5" fillId="0" borderId="0" applyFont="0" applyFill="0" applyBorder="0" applyAlignment="0" applyProtection="0"/>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7" fillId="0" borderId="19" applyNumberFormat="0" applyFill="0" applyAlignment="0" applyProtection="0"/>
    <xf numFmtId="0" fontId="49" fillId="0" borderId="20" applyNumberFormat="0" applyFill="0" applyProtection="0">
      <alignment horizontal="center"/>
    </xf>
    <xf numFmtId="0" fontId="49" fillId="0" borderId="0" applyNumberFormat="0" applyFill="0" applyBorder="0" applyProtection="0">
      <alignment horizontal="left"/>
    </xf>
    <xf numFmtId="0" fontId="50" fillId="0" borderId="0" applyNumberFormat="0" applyFill="0" applyBorder="0" applyProtection="0">
      <alignment horizontal="centerContinuous"/>
    </xf>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193" fontId="5" fillId="0" borderId="0" applyFont="0" applyFill="0" applyBorder="0" applyAlignment="0" applyProtection="0"/>
    <xf numFmtId="194" fontId="5" fillId="0" borderId="0" applyFont="0" applyFill="0" applyBorder="0" applyAlignment="0" applyProtection="0"/>
    <xf numFmtId="195" fontId="51" fillId="0" borderId="0">
      <alignment horizontal="right" vertical="center"/>
    </xf>
    <xf numFmtId="0" fontId="23" fillId="0" borderId="0"/>
    <xf numFmtId="41" fontId="5" fillId="0" borderId="0" applyFont="0" applyFill="0" applyBorder="0" applyAlignment="0" applyProtection="0"/>
    <xf numFmtId="0" fontId="5" fillId="0" borderId="0"/>
    <xf numFmtId="0" fontId="5" fillId="0" borderId="0"/>
    <xf numFmtId="0" fontId="39" fillId="0" borderId="0"/>
    <xf numFmtId="9" fontId="5" fillId="0" borderId="0"/>
    <xf numFmtId="0" fontId="35" fillId="0" borderId="0"/>
    <xf numFmtId="0" fontId="35" fillId="0" borderId="0"/>
    <xf numFmtId="0" fontId="39" fillId="0" borderId="0"/>
    <xf numFmtId="0" fontId="39" fillId="0" borderId="0"/>
    <xf numFmtId="2" fontId="39" fillId="0" borderId="0"/>
    <xf numFmtId="10" fontId="39" fillId="0" borderId="0"/>
    <xf numFmtId="0" fontId="39" fillId="0" borderId="0"/>
    <xf numFmtId="0" fontId="39" fillId="0" borderId="0"/>
    <xf numFmtId="196" fontId="52" fillId="0" borderId="0" applyFont="0" applyFill="0" applyBorder="0" applyAlignment="0" applyProtection="0"/>
    <xf numFmtId="197" fontId="53" fillId="0" borderId="0" applyFont="0" applyBorder="0"/>
    <xf numFmtId="197"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4" fillId="35" borderId="0" applyNumberFormat="0" applyAlignment="0" applyProtection="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 fillId="0" borderId="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198" fontId="23" fillId="0" borderId="0" applyFont="0" applyFill="0" applyBorder="0" applyAlignment="0" applyProtection="0">
      <protection locked="0"/>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200" fontId="56" fillId="0" borderId="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 fillId="0" borderId="0"/>
    <xf numFmtId="0" fontId="22" fillId="11" borderId="0" applyNumberFormat="0" applyBorder="0" applyAlignment="0" applyProtection="0"/>
    <xf numFmtId="0" fontId="57" fillId="37" borderId="0"/>
    <xf numFmtId="0" fontId="58" fillId="12" borderId="0" applyNumberFormat="0" applyBorder="0" applyAlignment="0" applyProtection="0"/>
    <xf numFmtId="37" fontId="59" fillId="0" borderId="0">
      <alignment horizontal="center"/>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0" borderId="0" applyNumberFormat="0"/>
    <xf numFmtId="0" fontId="5" fillId="33" borderId="0"/>
    <xf numFmtId="9" fontId="39" fillId="0" borderId="0" applyFont="0" applyFill="0" applyBorder="0" applyAlignment="0" applyProtection="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0" fontId="5" fillId="0" borderId="22" applyFont="0" applyBorder="0"/>
    <xf numFmtId="41" fontId="30" fillId="0" borderId="0" applyFont="0" applyFill="0" applyBorder="0" applyAlignment="0" applyProtection="0"/>
    <xf numFmtId="201" fontId="30" fillId="0" borderId="0" applyFont="0" applyFill="0" applyBorder="0" applyAlignment="0" applyProtection="0"/>
    <xf numFmtId="43" fontId="30" fillId="0" borderId="0" applyFont="0" applyFill="0" applyBorder="0" applyAlignment="0" applyProtection="0"/>
    <xf numFmtId="42" fontId="30" fillId="0" borderId="0" applyFont="0" applyFill="0" applyBorder="0" applyAlignment="0" applyProtection="0"/>
    <xf numFmtId="202" fontId="30" fillId="0" borderId="0" applyFont="0" applyFill="0" applyBorder="0" applyAlignment="0" applyProtection="0"/>
    <xf numFmtId="44" fontId="30" fillId="0" borderId="0" applyFont="0" applyFill="0" applyBorder="0" applyAlignment="0" applyProtection="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203" fontId="62" fillId="0" borderId="0" applyFont="0" applyFill="0" applyBorder="0" applyAlignment="0" applyProtection="0"/>
    <xf numFmtId="204" fontId="43" fillId="38" borderId="23">
      <alignment horizontal="center" vertical="center"/>
    </xf>
    <xf numFmtId="204" fontId="43" fillId="38" borderId="23">
      <alignment horizontal="center" vertical="center"/>
    </xf>
    <xf numFmtId="0" fontId="63" fillId="37" borderId="0" applyNumberFormat="0" applyBorder="0" applyAlignment="0" applyProtection="0"/>
    <xf numFmtId="0" fontId="39" fillId="0" borderId="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0" applyBorder="0" applyAlignment="0"/>
    <xf numFmtId="0" fontId="64" fillId="33" borderId="18">
      <alignment horizontal="center"/>
    </xf>
    <xf numFmtId="0" fontId="65" fillId="0" borderId="0">
      <alignment horizontal="center" wrapText="1"/>
      <protection locked="0"/>
    </xf>
    <xf numFmtId="0" fontId="66" fillId="33" borderId="24" applyNumberFormat="0" applyAlignment="0" applyProtection="0"/>
    <xf numFmtId="0" fontId="66" fillId="33" borderId="24" applyNumberFormat="0" applyAlignment="0" applyProtection="0"/>
    <xf numFmtId="0" fontId="66" fillId="33" borderId="24" applyNumberFormat="0" applyAlignment="0" applyProtection="0"/>
    <xf numFmtId="37" fontId="52" fillId="0" borderId="2"/>
    <xf numFmtId="37" fontId="52" fillId="0" borderId="2"/>
    <xf numFmtId="37" fontId="52" fillId="0" borderId="2"/>
    <xf numFmtId="37" fontId="52" fillId="0" borderId="2"/>
    <xf numFmtId="0" fontId="5" fillId="0" borderId="0"/>
    <xf numFmtId="0" fontId="67" fillId="0" borderId="0"/>
    <xf numFmtId="0" fontId="52" fillId="39" borderId="0" applyNumberFormat="0" applyFont="0" applyBorder="0" applyAlignment="0" applyProtection="0"/>
    <xf numFmtId="205" fontId="32" fillId="0" borderId="2"/>
    <xf numFmtId="205" fontId="32" fillId="0" borderId="2"/>
    <xf numFmtId="205" fontId="32" fillId="0" borderId="2"/>
    <xf numFmtId="205" fontId="32" fillId="0" borderId="2"/>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0" fontId="68" fillId="0" borderId="25" applyFont="0" applyBorder="0" applyAlignment="0">
      <alignment vertical="center"/>
    </xf>
    <xf numFmtId="0" fontId="68" fillId="0" borderId="25" applyFont="0" applyBorder="0" applyAlignment="0">
      <alignment vertical="center"/>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69" fillId="0" borderId="0" applyNumberFormat="0" applyFill="0" applyBorder="0" applyAlignment="0" applyProtection="0">
      <alignment horizontal="center"/>
    </xf>
    <xf numFmtId="3" fontId="41" fillId="0" borderId="26" applyNumberFormat="0" applyFill="0" applyBorder="0" applyAlignment="0" applyProtection="0">
      <alignment horizontal="left"/>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70" fillId="0" borderId="0" applyNumberFormat="0" applyFill="0" applyBorder="0" applyAlignment="0" applyProtection="0"/>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0" fontId="70" fillId="0" borderId="0" applyNumberFormat="0" applyFill="0" applyBorder="0" applyAlignment="0" applyProtection="0"/>
    <xf numFmtId="0" fontId="72" fillId="0" borderId="0" applyNumberFormat="0" applyFill="0" applyBorder="0" applyAlignment="0" applyProtection="0"/>
    <xf numFmtId="209" fontId="73" fillId="0" borderId="28"/>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210" fontId="23" fillId="0" borderId="0">
      <alignment horizontal="center"/>
    </xf>
    <xf numFmtId="15" fontId="75" fillId="0" borderId="0" applyNumberFormat="0">
      <alignment horizontal="center"/>
    </xf>
    <xf numFmtId="0" fontId="76" fillId="0" borderId="29"/>
    <xf numFmtId="38" fontId="77" fillId="0" borderId="16" applyNumberFormat="0" applyFont="0" applyFill="0" applyAlignment="0" applyProtection="0">
      <alignment horizontal="right"/>
    </xf>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0"/>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0" fontId="65" fillId="0" borderId="31"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38" fontId="77" fillId="0" borderId="33" applyNumberFormat="0" applyFont="0" applyFill="0" applyAlignment="0" applyProtection="0">
      <alignment horizontal="right"/>
    </xf>
    <xf numFmtId="3" fontId="63" fillId="36" borderId="0" applyNumberFormat="0" applyBorder="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80" fillId="0" borderId="37"/>
    <xf numFmtId="0" fontId="80" fillId="0" borderId="37"/>
    <xf numFmtId="0" fontId="80" fillId="0" borderId="37"/>
    <xf numFmtId="0" fontId="81" fillId="0" borderId="38" applyFill="0" applyProtection="0">
      <alignment horizontal="right"/>
    </xf>
    <xf numFmtId="0" fontId="81" fillId="0" borderId="38" applyFill="0" applyProtection="0">
      <alignment horizontal="right"/>
    </xf>
    <xf numFmtId="0" fontId="81" fillId="0" borderId="38" applyFill="0" applyProtection="0">
      <alignment horizontal="right"/>
    </xf>
    <xf numFmtId="211" fontId="82" fillId="40" borderId="0" applyFont="0" applyFill="0" applyBorder="0" applyAlignment="0" applyProtection="0"/>
    <xf numFmtId="212" fontId="5" fillId="0" borderId="0" applyFont="0" applyFill="0" applyBorder="0" applyAlignment="0" applyProtection="0"/>
    <xf numFmtId="0" fontId="83" fillId="41" borderId="0"/>
    <xf numFmtId="0" fontId="83" fillId="42" borderId="0"/>
    <xf numFmtId="0" fontId="84" fillId="0" borderId="0"/>
    <xf numFmtId="0" fontId="84" fillId="0" borderId="0"/>
    <xf numFmtId="0" fontId="84" fillId="0" borderId="0"/>
    <xf numFmtId="0" fontId="83" fillId="43" borderId="0"/>
    <xf numFmtId="41" fontId="35" fillId="0" borderId="0" applyFill="0"/>
    <xf numFmtId="213" fontId="52" fillId="0" borderId="0">
      <alignment horizontal="center"/>
    </xf>
    <xf numFmtId="0" fontId="52" fillId="0" borderId="0" applyFill="0">
      <alignment horizontal="center"/>
    </xf>
    <xf numFmtId="41" fontId="74" fillId="0" borderId="29" applyFill="0"/>
    <xf numFmtId="0" fontId="5" fillId="0" borderId="0" applyFont="0" applyAlignment="0"/>
    <xf numFmtId="0" fontId="85" fillId="0" borderId="0" applyFill="0">
      <alignment vertical="top"/>
    </xf>
    <xf numFmtId="0" fontId="86" fillId="0" borderId="0" applyFill="0">
      <alignment horizontal="left" vertical="top"/>
    </xf>
    <xf numFmtId="41" fontId="74" fillId="0" borderId="39" applyFill="0"/>
    <xf numFmtId="41" fontId="74" fillId="0" borderId="39" applyFill="0"/>
    <xf numFmtId="41" fontId="74" fillId="0" borderId="39" applyFill="0"/>
    <xf numFmtId="41" fontId="74" fillId="0" borderId="39" applyFill="0"/>
    <xf numFmtId="41" fontId="74" fillId="0" borderId="39" applyFill="0"/>
    <xf numFmtId="41" fontId="74" fillId="0" borderId="39" applyFill="0"/>
    <xf numFmtId="0" fontId="5" fillId="0" borderId="0" applyNumberFormat="0" applyFont="0" applyAlignment="0"/>
    <xf numFmtId="0" fontId="85" fillId="0" borderId="0" applyFill="0">
      <alignment wrapText="1"/>
    </xf>
    <xf numFmtId="0" fontId="86" fillId="0" borderId="0" applyFill="0">
      <alignment horizontal="left" vertical="top" wrapText="1"/>
    </xf>
    <xf numFmtId="41" fontId="74" fillId="0" borderId="0" applyFill="0"/>
    <xf numFmtId="0" fontId="87" fillId="0" borderId="0" applyNumberFormat="0" applyFont="0" applyAlignment="0">
      <alignment horizontal="center"/>
    </xf>
    <xf numFmtId="0" fontId="88" fillId="0" borderId="0" applyFill="0">
      <alignment vertical="top" wrapText="1"/>
    </xf>
    <xf numFmtId="0" fontId="89" fillId="0" borderId="0" applyFill="0">
      <alignment horizontal="left" vertical="top" wrapText="1"/>
    </xf>
    <xf numFmtId="41" fontId="35" fillId="0" borderId="0" applyFill="0"/>
    <xf numFmtId="0" fontId="87" fillId="0" borderId="0" applyNumberFormat="0" applyFont="0" applyAlignment="0">
      <alignment horizontal="center"/>
    </xf>
    <xf numFmtId="0" fontId="90" fillId="0" borderId="0" applyFill="0">
      <alignment vertical="center" wrapText="1"/>
    </xf>
    <xf numFmtId="0" fontId="91" fillId="0" borderId="0">
      <alignment horizontal="left" vertical="center" wrapText="1"/>
    </xf>
    <xf numFmtId="41" fontId="35" fillId="0" borderId="0" applyFill="0"/>
    <xf numFmtId="0" fontId="87" fillId="0" borderId="0" applyNumberFormat="0" applyFont="0" applyAlignment="0">
      <alignment horizontal="center"/>
    </xf>
    <xf numFmtId="0" fontId="92" fillId="0" borderId="0" applyFill="0">
      <alignment horizontal="center" vertical="center" wrapText="1"/>
    </xf>
    <xf numFmtId="0" fontId="5" fillId="0" borderId="0" applyFill="0">
      <alignment horizontal="center" vertical="center" wrapText="1"/>
    </xf>
    <xf numFmtId="41" fontId="93" fillId="0" borderId="0" applyFill="0"/>
    <xf numFmtId="0" fontId="87" fillId="0" borderId="0" applyNumberFormat="0" applyFont="0" applyAlignment="0">
      <alignment horizontal="center"/>
    </xf>
    <xf numFmtId="0" fontId="94" fillId="0" borderId="0" applyFill="0">
      <alignment horizontal="center" vertical="center" wrapText="1"/>
    </xf>
    <xf numFmtId="0" fontId="95" fillId="0" borderId="0" applyFill="0">
      <alignment horizontal="center" vertical="center" wrapText="1"/>
    </xf>
    <xf numFmtId="41" fontId="93" fillId="0" borderId="0" applyFill="0"/>
    <xf numFmtId="0" fontId="87" fillId="0" borderId="0" applyNumberFormat="0" applyFont="0" applyAlignment="0">
      <alignment horizontal="center"/>
    </xf>
    <xf numFmtId="0" fontId="96" fillId="0" borderId="0">
      <alignment horizontal="center" wrapText="1"/>
    </xf>
    <xf numFmtId="0" fontId="97" fillId="0" borderId="0" applyFill="0">
      <alignment horizontal="center" wrapText="1"/>
    </xf>
    <xf numFmtId="214" fontId="52" fillId="44" borderId="18"/>
    <xf numFmtId="195" fontId="23" fillId="0" borderId="0" applyFill="0" applyBorder="0" applyAlignment="0"/>
    <xf numFmtId="209" fontId="67" fillId="0" borderId="0" applyFill="0" applyBorder="0" applyAlignment="0"/>
    <xf numFmtId="215" fontId="67" fillId="0" borderId="0" applyFill="0" applyBorder="0" applyAlignment="0"/>
    <xf numFmtId="216" fontId="5" fillId="0" borderId="0" applyFill="0" applyBorder="0" applyAlignment="0"/>
    <xf numFmtId="217" fontId="39"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37" fontId="5" fillId="45" borderId="2" applyFill="0" applyBorder="0"/>
    <xf numFmtId="37" fontId="5" fillId="45" borderId="2" applyFill="0" applyBorder="0"/>
    <xf numFmtId="37" fontId="5" fillId="45" borderId="2" applyFill="0" applyBorder="0"/>
    <xf numFmtId="37" fontId="5" fillId="45" borderId="2" applyFill="0" applyBorder="0"/>
    <xf numFmtId="37" fontId="5" fillId="45" borderId="2" applyFill="0" applyBorder="0"/>
    <xf numFmtId="181" fontId="5" fillId="0" borderId="0" applyFill="0" applyBorder="0"/>
    <xf numFmtId="39" fontId="5" fillId="0" borderId="0" applyFill="0" applyBorder="0"/>
    <xf numFmtId="219" fontId="5" fillId="0" borderId="0" applyFill="0" applyBorder="0"/>
    <xf numFmtId="220" fontId="5" fillId="0" borderId="0" applyFill="0" applyBorder="0"/>
    <xf numFmtId="221" fontId="5" fillId="0" borderId="0" applyFill="0" applyBorder="0"/>
    <xf numFmtId="222" fontId="5" fillId="0" borderId="0" applyFill="0" applyBorder="0"/>
    <xf numFmtId="223" fontId="5" fillId="0" borderId="0" applyFill="0" applyBorder="0"/>
    <xf numFmtId="224" fontId="5" fillId="0" borderId="0" applyFill="0" applyBorder="0"/>
    <xf numFmtId="202" fontId="5" fillId="0" borderId="18" applyFill="0" applyBorder="0"/>
    <xf numFmtId="9" fontId="5" fillId="0" borderId="0" applyFill="0" applyBorder="0"/>
    <xf numFmtId="173" fontId="5" fillId="0" borderId="0" applyFill="0" applyBorder="0"/>
    <xf numFmtId="10" fontId="5" fillId="0" borderId="0" applyFill="0" applyBorder="0"/>
    <xf numFmtId="3" fontId="98" fillId="0" borderId="0" applyNumberFormat="0" applyFill="0" applyBorder="0" applyAlignment="0" applyProtection="0"/>
    <xf numFmtId="206" fontId="99" fillId="0" borderId="0" applyFont="0" applyFill="0" applyBorder="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23" fillId="0" borderId="0" applyNumberFormat="0" applyProtection="0"/>
    <xf numFmtId="0" fontId="23" fillId="0" borderId="0" applyNumberFormat="0" applyProtection="0"/>
    <xf numFmtId="49" fontId="5" fillId="0" borderId="0">
      <alignment horizontal="left"/>
      <protection locked="0"/>
    </xf>
    <xf numFmtId="49" fontId="5" fillId="0" borderId="0">
      <alignment horizontal="left"/>
      <protection locked="0"/>
    </xf>
    <xf numFmtId="49" fontId="5" fillId="0" borderId="0">
      <alignment horizontal="left"/>
      <protection locked="0"/>
    </xf>
    <xf numFmtId="0" fontId="5" fillId="0" borderId="0" applyNumberFormat="0" applyFont="0" applyFill="0" applyBorder="0">
      <alignment horizontal="center"/>
    </xf>
    <xf numFmtId="39" fontId="5" fillId="0" borderId="0" applyFill="0" applyBorder="0">
      <alignment horizontal="center"/>
    </xf>
    <xf numFmtId="0" fontId="43" fillId="0" borderId="0" applyFill="0" applyBorder="0" applyProtection="0">
      <alignment horizontal="center"/>
      <protection locked="0"/>
    </xf>
    <xf numFmtId="0" fontId="52" fillId="0" borderId="0" applyFont="0" applyFill="0" applyBorder="0" applyAlignment="0" applyProtection="0"/>
    <xf numFmtId="0" fontId="52" fillId="0" borderId="0" applyFont="0" applyFill="0" applyBorder="0" applyAlignment="0" applyProtection="0"/>
    <xf numFmtId="8" fontId="5" fillId="0" borderId="40" applyFont="0" applyFill="0" applyBorder="0" applyProtection="0">
      <alignment horizontal="right"/>
    </xf>
    <xf numFmtId="225" fontId="100" fillId="0" borderId="0"/>
    <xf numFmtId="1" fontId="101" fillId="0" borderId="0"/>
    <xf numFmtId="0" fontId="5" fillId="0" borderId="0"/>
    <xf numFmtId="0" fontId="5" fillId="0" borderId="0"/>
    <xf numFmtId="0" fontId="5" fillId="0" borderId="0"/>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102" fillId="0" borderId="0"/>
    <xf numFmtId="0" fontId="52" fillId="0" borderId="0" applyNumberFormat="0" applyFill="0" applyBorder="0" applyAlignment="0" applyProtection="0"/>
    <xf numFmtId="0" fontId="103"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226" fontId="104" fillId="0" borderId="0" applyFont="0" applyFill="0" applyBorder="0" applyAlignment="0" applyProtection="0">
      <alignment horizontal="left" vertical="center"/>
    </xf>
    <xf numFmtId="0" fontId="63" fillId="47" borderId="41" applyFont="0" applyFill="0" applyBorder="0"/>
    <xf numFmtId="0" fontId="52" fillId="0" borderId="15"/>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38" fontId="106" fillId="0" borderId="0" applyNumberFormat="0" applyFill="0" applyBorder="0" applyAlignment="0" applyProtection="0">
      <protection locked="0"/>
    </xf>
    <xf numFmtId="38" fontId="107" fillId="0" borderId="0" applyNumberFormat="0" applyFill="0" applyBorder="0" applyAlignment="0" applyProtection="0">
      <protection locked="0"/>
    </xf>
    <xf numFmtId="0" fontId="52" fillId="0" borderId="0" applyNumberFormat="0" applyFill="0" applyBorder="0" applyProtection="0">
      <alignment horizontal="center" wrapText="1"/>
    </xf>
    <xf numFmtId="0" fontId="39" fillId="0" borderId="0">
      <alignment horizontal="center" wrapText="1"/>
      <protection hidden="1"/>
    </xf>
    <xf numFmtId="38" fontId="108" fillId="0" borderId="0" applyNumberFormat="0" applyFill="0" applyBorder="0" applyAlignment="0" applyProtection="0">
      <protection locked="0"/>
    </xf>
    <xf numFmtId="4" fontId="63" fillId="48" borderId="41" applyNumberFormat="0" applyProtection="0">
      <alignment horizontal="right" wrapText="1"/>
    </xf>
    <xf numFmtId="227" fontId="109" fillId="0" borderId="0">
      <alignment horizontal="right"/>
    </xf>
    <xf numFmtId="228" fontId="5" fillId="0" borderId="0">
      <alignment horizontal="right"/>
    </xf>
    <xf numFmtId="228" fontId="5" fillId="0" borderId="0">
      <alignment horizontal="right"/>
    </xf>
    <xf numFmtId="38" fontId="39" fillId="0" borderId="0" applyFont="0" applyFill="0" applyBorder="0" applyAlignment="0" applyProtection="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06" fontId="23" fillId="0" borderId="0" applyFont="0" applyFill="0" applyBorder="0" applyAlignment="0" applyProtection="0">
      <protection locked="0"/>
    </xf>
    <xf numFmtId="40" fontId="23" fillId="0" borderId="0" applyFont="0" applyFill="0" applyBorder="0" applyAlignment="0" applyProtection="0">
      <protection locked="0"/>
    </xf>
    <xf numFmtId="230" fontId="32" fillId="0" borderId="0" applyFont="0" applyFill="0" applyBorder="0" applyProtection="0"/>
    <xf numFmtId="231" fontId="32" fillId="0" borderId="0" applyFont="0" applyFill="0" applyBorder="0" applyProtection="0"/>
    <xf numFmtId="41" fontId="5" fillId="0" borderId="0" applyFont="0" applyFill="0" applyBorder="0" applyAlignment="0" applyProtection="0"/>
    <xf numFmtId="42" fontId="39" fillId="0" borderId="0" applyFont="0" applyFill="0" applyBorder="0" applyAlignment="0" applyProtection="0"/>
    <xf numFmtId="0" fontId="111" fillId="0" borderId="0" applyFont="0" applyFill="0" applyBorder="0" applyAlignment="0" applyProtection="0">
      <alignment horizontal="right"/>
    </xf>
    <xf numFmtId="39" fontId="111" fillId="0" borderId="0" applyFont="0" applyFill="0" applyBorder="0" applyAlignment="0" applyProtection="0">
      <alignment horizontal="right"/>
    </xf>
    <xf numFmtId="232" fontId="5" fillId="0" borderId="0" applyFont="0" applyFill="0" applyBorder="0" applyAlignment="0" applyProtection="0">
      <alignment horizontal="right"/>
    </xf>
    <xf numFmtId="233" fontId="23" fillId="0" borderId="0" applyFont="0" applyFill="0" applyBorder="0" applyAlignment="0" applyProtection="0"/>
    <xf numFmtId="234" fontId="112" fillId="0" borderId="0" applyFont="0" applyFill="0" applyBorder="0" applyAlignment="0" applyProtection="0"/>
    <xf numFmtId="235" fontId="112" fillId="0" borderId="0" applyFont="0" applyFill="0" applyBorder="0" applyAlignment="0" applyProtection="0"/>
    <xf numFmtId="236" fontId="43" fillId="0" borderId="0" applyFont="0" applyFill="0" applyBorder="0" applyAlignment="0" applyProtection="0">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3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0" fontId="5" fillId="0" borderId="0" applyFont="0" applyFill="0" applyBorder="0" applyProtection="0">
      <alignment horizontal="right"/>
    </xf>
    <xf numFmtId="37" fontId="116" fillId="0" borderId="0" applyFont="0" applyFill="0" applyBorder="0" applyAlignment="0" applyProtection="0"/>
    <xf numFmtId="0" fontId="5" fillId="0" borderId="0" applyFont="0" applyFill="0" applyBorder="0" applyAlignment="0" applyProtection="0"/>
    <xf numFmtId="237" fontId="23" fillId="0" borderId="0"/>
    <xf numFmtId="238" fontId="5" fillId="0" borderId="0" applyFont="0" applyFill="0" applyBorder="0" applyAlignment="0" applyProtection="0"/>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0" fontId="5" fillId="0" borderId="0">
      <protection locked="0"/>
    </xf>
    <xf numFmtId="0" fontId="117" fillId="0" borderId="0"/>
    <xf numFmtId="0" fontId="38" fillId="0" borderId="0"/>
    <xf numFmtId="209" fontId="38" fillId="0" borderId="0"/>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3" fontId="118" fillId="0" borderId="0" applyFont="0" applyFill="0" applyBorder="0" applyAlignment="0" applyProtection="0"/>
    <xf numFmtId="240" fontId="5" fillId="0" borderId="0" applyFont="0" applyFill="0" applyBorder="0" applyAlignment="0" applyProtection="0">
      <alignment horizontal="left"/>
    </xf>
    <xf numFmtId="0" fontId="117" fillId="0" borderId="0"/>
    <xf numFmtId="0" fontId="38" fillId="0" borderId="0"/>
    <xf numFmtId="0" fontId="38" fillId="0" borderId="0"/>
    <xf numFmtId="240" fontId="5" fillId="0" borderId="0" applyFont="0" applyFill="0" applyBorder="0" applyAlignment="0" applyProtection="0">
      <alignment horizontal="left"/>
    </xf>
    <xf numFmtId="240" fontId="5" fillId="0" borderId="0" applyFont="0" applyFill="0" applyBorder="0" applyAlignment="0" applyProtection="0">
      <alignment horizontal="left"/>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pplyAlignment="0">
      <alignment horizontal="left"/>
    </xf>
    <xf numFmtId="241" fontId="5" fillId="0" borderId="0" applyFont="0" applyFill="0" applyBorder="0" applyAlignment="0" applyProtection="0">
      <alignment horizontal="left"/>
    </xf>
    <xf numFmtId="242" fontId="5" fillId="0" borderId="0" applyFont="0" applyFill="0" applyBorder="0" applyAlignment="0" applyProtection="0">
      <alignment horizontal="left"/>
    </xf>
    <xf numFmtId="242" fontId="5" fillId="0" borderId="0" applyFont="0" applyFill="0" applyBorder="0" applyAlignment="0" applyProtection="0">
      <alignment horizontal="left"/>
    </xf>
    <xf numFmtId="243" fontId="5" fillId="0" borderId="0">
      <alignment horizontal="right"/>
    </xf>
    <xf numFmtId="244" fontId="5" fillId="0" borderId="0">
      <alignment horizontal="right"/>
    </xf>
    <xf numFmtId="0" fontId="119" fillId="0" borderId="15" applyBorder="0" applyProtection="0"/>
    <xf numFmtId="0" fontId="120" fillId="49" borderId="0">
      <alignment horizontal="center" vertical="center" wrapText="1"/>
    </xf>
    <xf numFmtId="0" fontId="121" fillId="0" borderId="0" applyFill="0" applyBorder="0" applyAlignment="0" applyProtection="0">
      <protection locked="0"/>
    </xf>
    <xf numFmtId="0" fontId="120" fillId="49" borderId="0">
      <alignment horizontal="center" vertical="center" wrapText="1"/>
    </xf>
    <xf numFmtId="209" fontId="122" fillId="0" borderId="0" applyFill="0" applyBorder="0">
      <alignment horizontal="left"/>
    </xf>
    <xf numFmtId="10" fontId="5" fillId="0" borderId="0"/>
    <xf numFmtId="0" fontId="123" fillId="0" borderId="0" applyNumberFormat="0" applyAlignment="0">
      <alignment horizontal="left"/>
    </xf>
    <xf numFmtId="0" fontId="40" fillId="0" borderId="0" applyNumberFormat="0" applyAlignment="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5" fillId="47" borderId="43" applyNumberFormat="0" applyFill="0" applyBorder="0" applyAlignment="0" applyProtection="0">
      <alignment horizontal="center" textRotation="255"/>
    </xf>
    <xf numFmtId="245" fontId="5" fillId="0" borderId="0" applyFill="0" applyBorder="0">
      <alignment horizontal="right"/>
      <protection locked="0"/>
    </xf>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09" fontId="127" fillId="0" borderId="0"/>
    <xf numFmtId="209" fontId="127" fillId="0" borderId="0"/>
    <xf numFmtId="246" fontId="52" fillId="0" borderId="44" applyFont="0" applyFill="0" applyBorder="0" applyAlignment="0" applyProtection="0"/>
    <xf numFmtId="6" fontId="23" fillId="0" borderId="0" applyFont="0" applyFill="0" applyBorder="0" applyAlignment="0" applyProtection="0">
      <protection locked="0"/>
    </xf>
    <xf numFmtId="8" fontId="23" fillId="0" borderId="0" applyFont="0" applyFill="0" applyBorder="0" applyAlignment="0" applyProtection="0">
      <protection locked="0"/>
    </xf>
    <xf numFmtId="247" fontId="32" fillId="0" borderId="0" applyFont="0" applyFill="0" applyBorder="0" applyProtection="0"/>
    <xf numFmtId="248" fontId="32" fillId="0" borderId="0" applyFont="0" applyFill="0" applyBorder="0" applyProtection="0"/>
    <xf numFmtId="6" fontId="52" fillId="0" borderId="0">
      <alignment horizontal="center"/>
    </xf>
    <xf numFmtId="209" fontId="67" fillId="0" borderId="0" applyFont="0" applyFill="0" applyBorder="0" applyAlignment="0" applyProtection="0"/>
    <xf numFmtId="0" fontId="128" fillId="0" borderId="0" applyFont="0" applyFill="0" applyBorder="0" applyAlignment="0" applyProtection="0"/>
    <xf numFmtId="8" fontId="129" fillId="0" borderId="45">
      <protection locked="0"/>
    </xf>
    <xf numFmtId="8" fontId="129" fillId="0" borderId="45">
      <protection locked="0"/>
    </xf>
    <xf numFmtId="8" fontId="129" fillId="0" borderId="45">
      <protection locked="0"/>
    </xf>
    <xf numFmtId="249" fontId="5" fillId="0" borderId="0" applyFont="0" applyFill="0" applyBorder="0" applyAlignment="0" applyProtection="0">
      <alignment horizontal="right"/>
    </xf>
    <xf numFmtId="250" fontId="112" fillId="0" borderId="0" applyFont="0" applyFill="0" applyBorder="0" applyAlignment="0" applyProtection="0"/>
    <xf numFmtId="251" fontId="112" fillId="0" borderId="0" applyFont="0" applyFill="0" applyBorder="0" applyAlignment="0" applyProtection="0"/>
    <xf numFmtId="252" fontId="112" fillId="0" borderId="0" applyFont="0" applyFill="0" applyBorder="0" applyAlignment="0" applyProtection="0"/>
    <xf numFmtId="253" fontId="43" fillId="0" borderId="0" applyFont="0" applyFill="0" applyBorder="0" applyAlignment="0" applyProtection="0">
      <protection locked="0"/>
    </xf>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115" fillId="0" borderId="0" applyFont="0" applyFill="0" applyBorder="0" applyAlignment="0" applyProtection="0"/>
    <xf numFmtId="44" fontId="1" fillId="0" borderId="0" applyFont="0" applyFill="0" applyBorder="0" applyAlignment="0" applyProtection="0"/>
    <xf numFmtId="246" fontId="52" fillId="0" borderId="44"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8" fontId="39" fillId="37" borderId="0" applyFont="0" applyFill="0" applyBorder="0" applyAlignment="0" applyProtection="0"/>
    <xf numFmtId="8" fontId="39" fillId="37" borderId="0" applyFont="0" applyFill="0" applyBorder="0" applyAlignment="0" applyProtection="0"/>
    <xf numFmtId="254" fontId="130" fillId="0" borderId="0" applyFont="0" applyFill="0" applyBorder="0" applyAlignment="0" applyProtection="0"/>
    <xf numFmtId="255" fontId="5" fillId="0" borderId="0" applyFont="0" applyFill="0" applyBorder="0" applyAlignment="0" applyProtection="0"/>
    <xf numFmtId="0" fontId="52" fillId="0" borderId="44" applyFont="0" applyFill="0" applyBorder="0" applyAlignment="0" applyProtection="0"/>
    <xf numFmtId="0" fontId="5" fillId="0" borderId="0">
      <protection locked="0"/>
    </xf>
    <xf numFmtId="256" fontId="5" fillId="0" borderId="0" applyFont="0" applyFill="0" applyBorder="0" applyAlignment="0" applyProtection="0">
      <alignment horizontal="left"/>
    </xf>
    <xf numFmtId="202" fontId="5" fillId="0" borderId="0" applyFont="0" applyFill="0" applyBorder="0" applyAlignment="0" applyProtection="0">
      <alignment horizontal="left"/>
    </xf>
    <xf numFmtId="202" fontId="5" fillId="0" borderId="0" applyFont="0" applyFill="0" applyBorder="0" applyAlignment="0" applyProtection="0">
      <alignment horizontal="left"/>
    </xf>
    <xf numFmtId="257" fontId="113" fillId="0" borderId="0" applyFill="0" applyBorder="0" applyProtection="0">
      <alignment vertical="center"/>
    </xf>
    <xf numFmtId="258" fontId="5" fillId="0" borderId="0" applyFill="0" applyBorder="0">
      <alignment horizontal="right"/>
    </xf>
    <xf numFmtId="195" fontId="5" fillId="37" borderId="0"/>
    <xf numFmtId="0" fontId="131" fillId="0" borderId="0" applyNumberFormat="0" applyFill="0" applyBorder="0" applyAlignment="0" applyProtection="0">
      <alignment horizontal="left"/>
    </xf>
    <xf numFmtId="0" fontId="132"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3" fillId="0" borderId="0" applyNumberFormat="0" applyFill="0" applyBorder="0" applyAlignment="0" applyProtection="0">
      <alignment horizontal="right"/>
    </xf>
    <xf numFmtId="44" fontId="5" fillId="0" borderId="0" applyFont="0" applyFill="0" applyBorder="0" applyAlignment="0" applyProtection="0"/>
    <xf numFmtId="259" fontId="5" fillId="0" borderId="0" applyFont="0" applyFill="0" applyBorder="0" applyAlignment="0" applyProtection="0"/>
    <xf numFmtId="260" fontId="5" fillId="0" borderId="0" applyFont="0" applyFill="0" applyBorder="0" applyAlignment="0" applyProtection="0"/>
    <xf numFmtId="261" fontId="5" fillId="0" borderId="0" applyFont="0" applyFill="0" applyBorder="0" applyAlignment="0" applyProtection="0"/>
    <xf numFmtId="262" fontId="5" fillId="0" borderId="0" applyNumberFormat="0">
      <alignment horizontal="right"/>
    </xf>
    <xf numFmtId="237" fontId="5" fillId="0" borderId="2"/>
    <xf numFmtId="237" fontId="5" fillId="0" borderId="2"/>
    <xf numFmtId="237" fontId="5" fillId="0" borderId="2"/>
    <xf numFmtId="237" fontId="5" fillId="0" borderId="2"/>
    <xf numFmtId="237" fontId="5" fillId="0" borderId="2"/>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4" fontId="5" fillId="0" borderId="0" applyFont="0" applyFill="0" applyBorder="0" applyAlignment="0" applyProtection="0"/>
    <xf numFmtId="264" fontId="5" fillId="0" borderId="0" applyFont="0" applyFill="0" applyBorder="0" applyAlignment="0" applyProtection="0"/>
    <xf numFmtId="264" fontId="5" fillId="0" borderId="0" applyFont="0" applyFill="0" applyBorder="0" applyAlignment="0" applyProtection="0"/>
    <xf numFmtId="0" fontId="5" fillId="0" borderId="0">
      <protection locked="0"/>
    </xf>
    <xf numFmtId="0" fontId="38" fillId="0" borderId="0"/>
    <xf numFmtId="15" fontId="63" fillId="0" borderId="0" applyFill="0" applyBorder="0" applyAlignment="0"/>
    <xf numFmtId="265" fontId="63" fillId="33" borderId="0"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06" fontId="52" fillId="33" borderId="0" applyFont="0" applyFill="0" applyBorder="0" applyAlignment="0" applyProtection="0"/>
    <xf numFmtId="17" fontId="63" fillId="0" borderId="0" applyFill="0" applyBorder="0">
      <alignment horizontal="right"/>
    </xf>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8" fontId="52"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269" fontId="5" fillId="0" borderId="0" applyFont="0" applyFill="0" applyBorder="0" applyAlignment="0" applyProtection="0"/>
    <xf numFmtId="14" fontId="52" fillId="0" borderId="0" applyFont="0" applyFill="0" applyBorder="0" applyAlignment="0" applyProtection="0"/>
    <xf numFmtId="14" fontId="46" fillId="0" borderId="0" applyFill="0" applyBorder="0" applyAlignment="0"/>
    <xf numFmtId="14" fontId="64" fillId="0" borderId="0" applyFont="0" applyFill="0" applyBorder="0" applyAlignment="0"/>
    <xf numFmtId="14" fontId="5" fillId="0" borderId="0" applyFill="0" applyBorder="0">
      <alignment horizontal="center"/>
    </xf>
    <xf numFmtId="266" fontId="63" fillId="0" borderId="0" applyFill="0" applyBorder="0">
      <alignment horizontal="right"/>
    </xf>
    <xf numFmtId="270" fontId="5" fillId="0" borderId="0" applyFont="0" applyFill="0" applyBorder="0" applyAlignment="0" applyProtection="0"/>
    <xf numFmtId="17" fontId="135" fillId="33" borderId="0">
      <alignment horizontal="center"/>
      <protection locked="0"/>
    </xf>
    <xf numFmtId="271" fontId="65" fillId="0" borderId="0" applyFont="0" applyFill="0" applyBorder="0" applyAlignment="0" applyProtection="0">
      <alignment horizontal="center" vertical="center"/>
    </xf>
    <xf numFmtId="271" fontId="65" fillId="0" borderId="0" applyFont="0" applyFill="0" applyBorder="0" applyAlignment="0" applyProtection="0">
      <alignment horizontal="center" vertical="center"/>
    </xf>
    <xf numFmtId="14" fontId="99" fillId="0" borderId="0" applyFont="0" applyFill="0" applyBorder="0" applyAlignment="0" applyProtection="0">
      <alignment horizontal="center"/>
    </xf>
    <xf numFmtId="272" fontId="99" fillId="0" borderId="0" applyFont="0" applyFill="0" applyBorder="0" applyAlignment="0" applyProtection="0">
      <alignment horizontal="center"/>
    </xf>
    <xf numFmtId="0" fontId="80" fillId="0" borderId="46"/>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0" fontId="5" fillId="0" borderId="0"/>
    <xf numFmtId="273" fontId="100" fillId="0" borderId="0"/>
    <xf numFmtId="0" fontId="39" fillId="50" borderId="0"/>
    <xf numFmtId="0" fontId="136" fillId="37" borderId="0" applyNumberFormat="0" applyBorder="0" applyAlignment="0" applyProtection="0"/>
    <xf numFmtId="38" fontId="39" fillId="0" borderId="47">
      <alignment vertical="center"/>
    </xf>
    <xf numFmtId="274" fontId="5" fillId="0" borderId="0" applyFont="0" applyFill="0" applyBorder="0" applyAlignment="0" applyProtection="0"/>
    <xf numFmtId="275" fontId="5" fillId="0" borderId="0" applyFont="0" applyFill="0" applyBorder="0" applyAlignment="0" applyProtection="0"/>
    <xf numFmtId="1" fontId="69" fillId="0" borderId="48" applyNumberFormat="0">
      <alignment horizontal="center"/>
    </xf>
    <xf numFmtId="276" fontId="71" fillId="0" borderId="48">
      <alignment horizontal="center"/>
    </xf>
    <xf numFmtId="0" fontId="137" fillId="0" borderId="0">
      <protection locked="0"/>
    </xf>
    <xf numFmtId="0" fontId="138" fillId="0" borderId="0">
      <alignment horizontal="left" indent="1"/>
    </xf>
    <xf numFmtId="277" fontId="5" fillId="0" borderId="0"/>
    <xf numFmtId="278" fontId="5" fillId="0" borderId="0"/>
    <xf numFmtId="279" fontId="5" fillId="0" borderId="0"/>
    <xf numFmtId="279" fontId="139" fillId="51" borderId="0"/>
    <xf numFmtId="280" fontId="78" fillId="0" borderId="0" applyFont="0" applyFill="0" applyBorder="0" applyProtection="0"/>
    <xf numFmtId="281" fontId="78" fillId="0" borderId="0" applyFont="0" applyFill="0" applyBorder="0" applyProtection="0"/>
    <xf numFmtId="282" fontId="78" fillId="0" borderId="0" applyFont="0" applyFill="0" applyBorder="0" applyProtection="0"/>
    <xf numFmtId="277" fontId="5" fillId="0" borderId="0"/>
    <xf numFmtId="0" fontId="5" fillId="0" borderId="0" applyFill="0" applyBorder="0" applyProtection="0">
      <alignment horizontal="right"/>
    </xf>
    <xf numFmtId="0" fontId="5" fillId="0" borderId="0" applyFill="0" applyBorder="0" applyProtection="0">
      <alignment horizontal="right"/>
    </xf>
    <xf numFmtId="0" fontId="5" fillId="0" borderId="0" applyFill="0" applyBorder="0" applyProtection="0">
      <alignment horizontal="right"/>
    </xf>
    <xf numFmtId="0" fontId="72" fillId="0" borderId="0" applyFont="0" applyFill="0" applyBorder="0" applyAlignment="0" applyProtection="0"/>
    <xf numFmtId="6" fontId="65" fillId="0" borderId="0" applyFont="0" applyFill="0" applyBorder="0" applyAlignment="0" applyProtection="0"/>
    <xf numFmtId="195" fontId="5" fillId="0" borderId="49" applyNumberFormat="0" applyFont="0" applyFill="0" applyAlignment="0" applyProtection="0"/>
    <xf numFmtId="0" fontId="80" fillId="0" borderId="46"/>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4" fontId="52" fillId="40" borderId="0" applyNumberFormat="0" applyBorder="0" applyAlignment="0" applyProtection="0">
      <alignment horizontal="right"/>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0" fontId="141" fillId="52" borderId="2">
      <protection locked="0"/>
    </xf>
    <xf numFmtId="0" fontId="141" fillId="52" borderId="2">
      <protection locked="0"/>
    </xf>
    <xf numFmtId="0" fontId="141" fillId="52" borderId="2">
      <protection locked="0"/>
    </xf>
    <xf numFmtId="0" fontId="141" fillId="52" borderId="2">
      <protection locked="0"/>
    </xf>
    <xf numFmtId="0" fontId="141" fillId="52" borderId="2">
      <protection locked="0"/>
    </xf>
    <xf numFmtId="285" fontId="142" fillId="0" borderId="50">
      <protection locked="0"/>
    </xf>
    <xf numFmtId="0" fontId="5" fillId="0" borderId="0" applyFont="0" applyBorder="0">
      <alignment horizontal="left" vertical="center" indent="1"/>
    </xf>
    <xf numFmtId="0" fontId="143" fillId="0" borderId="0">
      <protection locked="0"/>
    </xf>
    <xf numFmtId="0" fontId="143" fillId="0" borderId="0">
      <protection locked="0"/>
    </xf>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0" fontId="144" fillId="0" borderId="0" applyNumberFormat="0" applyAlignment="0">
      <alignment horizontal="left"/>
    </xf>
    <xf numFmtId="17" fontId="145" fillId="53" borderId="0">
      <alignment horizontal="left"/>
    </xf>
    <xf numFmtId="0" fontId="5" fillId="54" borderId="0" applyNumberFormat="0" applyBorder="0" applyAlignment="0" applyProtection="0"/>
    <xf numFmtId="0" fontId="146" fillId="55" borderId="0" applyNumberFormat="0" applyBorder="0" applyAlignment="0">
      <protection locked="0"/>
    </xf>
    <xf numFmtId="0" fontId="147" fillId="54" borderId="0" applyNumberFormat="0" applyBorder="0" applyAlignment="0">
      <protection locked="0"/>
    </xf>
    <xf numFmtId="0" fontId="148" fillId="0" borderId="0" applyNumberFormat="0" applyFill="0" applyBorder="0" applyAlignment="0" applyProtection="0"/>
    <xf numFmtId="0" fontId="148" fillId="54" borderId="0" applyNumberFormat="0" applyBorder="0" applyAlignment="0"/>
    <xf numFmtId="0" fontId="76" fillId="0" borderId="29"/>
    <xf numFmtId="0" fontId="53" fillId="54" borderId="0" applyNumberFormat="0" applyBorder="0" applyAlignment="0">
      <protection locked="0"/>
    </xf>
    <xf numFmtId="0" fontId="141" fillId="40" borderId="2">
      <protection hidden="1"/>
    </xf>
    <xf numFmtId="0" fontId="141" fillId="40" borderId="2">
      <protection hidden="1"/>
    </xf>
    <xf numFmtId="0" fontId="141" fillId="40" borderId="2">
      <protection hidden="1"/>
    </xf>
    <xf numFmtId="0" fontId="141" fillId="40" borderId="2">
      <protection hidden="1"/>
    </xf>
    <xf numFmtId="0" fontId="141" fillId="40" borderId="2">
      <protection hidden="1"/>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0" fontId="5" fillId="0" borderId="0" applyFont="0" applyFill="0" applyBorder="0" applyAlignment="0" applyProtection="0"/>
    <xf numFmtId="287" fontId="5" fillId="0" borderId="0" applyFont="0" applyFill="0" applyBorder="0" applyAlignment="0" applyProtection="0"/>
    <xf numFmtId="287" fontId="5" fillId="0" borderId="0" applyFont="0" applyFill="0" applyBorder="0" applyAlignment="0" applyProtection="0"/>
    <xf numFmtId="288" fontId="5" fillId="0" borderId="0"/>
    <xf numFmtId="288" fontId="139" fillId="51" borderId="0"/>
    <xf numFmtId="215" fontId="5" fillId="0" borderId="0" applyFont="0" applyFill="0" applyBorder="0" applyAlignment="0" applyProtection="0"/>
    <xf numFmtId="0" fontId="150" fillId="57" borderId="0" applyNumberFormat="0" applyBorder="0" applyAlignment="0" applyProtection="0">
      <alignment horizontal="center" vertical="center"/>
    </xf>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89" fontId="78" fillId="0" borderId="0" applyFont="0" applyFill="0" applyBorder="0" applyProtection="0"/>
    <xf numFmtId="290" fontId="78" fillId="0" borderId="0" applyFont="0" applyFill="0" applyBorder="0" applyProtection="0"/>
    <xf numFmtId="291" fontId="78" fillId="0" borderId="0" applyFont="0" applyFill="0" applyBorder="0" applyProtection="0"/>
    <xf numFmtId="0" fontId="137" fillId="0" borderId="0">
      <protection locked="0"/>
    </xf>
    <xf numFmtId="0" fontId="137" fillId="0" borderId="0">
      <protection locked="0"/>
    </xf>
    <xf numFmtId="0" fontId="151" fillId="0" borderId="0" applyBorder="0">
      <alignment horizontal="right"/>
    </xf>
    <xf numFmtId="0" fontId="23" fillId="0" borderId="0"/>
    <xf numFmtId="292" fontId="5" fillId="0" borderId="0"/>
    <xf numFmtId="292" fontId="5" fillId="0" borderId="0"/>
    <xf numFmtId="0" fontId="5" fillId="0" borderId="0">
      <protection locked="0"/>
    </xf>
    <xf numFmtId="245" fontId="5" fillId="0" borderId="0"/>
    <xf numFmtId="293" fontId="5" fillId="33" borderId="0" applyFont="0" applyFill="0" applyBorder="0" applyAlignment="0"/>
    <xf numFmtId="2" fontId="100" fillId="0" borderId="0"/>
    <xf numFmtId="206" fontId="38" fillId="0" borderId="0">
      <alignment horizontal="right"/>
    </xf>
    <xf numFmtId="0" fontId="38" fillId="0" borderId="0"/>
    <xf numFmtId="0" fontId="152" fillId="0" borderId="0" applyNumberFormat="0" applyFill="0" applyBorder="0" applyAlignment="0" applyProtection="0">
      <alignment vertical="top"/>
      <protection locked="0"/>
    </xf>
    <xf numFmtId="0" fontId="5" fillId="0" borderId="0" applyFill="0" applyBorder="0" applyProtection="0">
      <alignment horizontal="left"/>
    </xf>
    <xf numFmtId="0" fontId="153" fillId="0" borderId="0" applyNumberFormat="0" applyFill="0" applyBorder="0" applyAlignment="0" applyProtection="0"/>
    <xf numFmtId="0" fontId="154" fillId="0" borderId="0"/>
    <xf numFmtId="0" fontId="155" fillId="58" borderId="51" applyNumberFormat="0" applyAlignment="0">
      <protection locked="0"/>
    </xf>
    <xf numFmtId="0" fontId="155" fillId="58" borderId="51" applyNumberFormat="0" applyAlignment="0">
      <protection locked="0"/>
    </xf>
    <xf numFmtId="0" fontId="38" fillId="59" borderId="0"/>
    <xf numFmtId="294" fontId="5" fillId="0" borderId="0" applyFont="0" applyFill="0" applyBorder="0" applyAlignment="0" applyProtection="0"/>
    <xf numFmtId="294" fontId="5" fillId="0" borderId="0" applyFont="0" applyFill="0" applyBorder="0" applyAlignment="0" applyProtection="0"/>
    <xf numFmtId="294" fontId="5" fillId="0" borderId="0" applyFont="0" applyFill="0" applyBorder="0" applyAlignment="0" applyProtection="0"/>
    <xf numFmtId="0" fontId="38" fillId="0" borderId="0" applyFont="0" applyFill="0" applyBorder="0" applyAlignment="0" applyProtection="0"/>
    <xf numFmtId="37" fontId="5" fillId="0" borderId="0" applyFill="0" applyBorder="0">
      <alignment horizontal="right"/>
    </xf>
    <xf numFmtId="37" fontId="5" fillId="0" borderId="0" applyFill="0" applyBorder="0">
      <alignment horizontal="center"/>
    </xf>
    <xf numFmtId="37" fontId="5" fillId="0" borderId="0" applyFill="0" applyBorder="0">
      <alignment horizontal="right"/>
    </xf>
    <xf numFmtId="39" fontId="5" fillId="0" borderId="0" applyFill="0" applyBorder="0">
      <alignment horizontal="right"/>
    </xf>
    <xf numFmtId="219" fontId="5" fillId="0" borderId="0" applyFill="0" applyBorder="0">
      <alignment horizontal="right"/>
    </xf>
    <xf numFmtId="0" fontId="65" fillId="0" borderId="0" applyFont="0" applyFill="0" applyBorder="0" applyAlignment="0" applyProtection="0">
      <alignment horizontal="center" vertical="center"/>
    </xf>
    <xf numFmtId="0" fontId="65" fillId="0" borderId="0" applyFont="0" applyFill="0" applyBorder="0" applyAlignment="0" applyProtection="0">
      <alignment horizontal="center" vertical="center"/>
    </xf>
    <xf numFmtId="0" fontId="41" fillId="0" borderId="0" applyNumberFormat="0" applyAlignment="0" applyProtection="0">
      <alignment horizontal="center"/>
      <protection locked="0"/>
    </xf>
    <xf numFmtId="0" fontId="41" fillId="0" borderId="0" applyNumberFormat="0" applyAlignment="0" applyProtection="0">
      <alignment horizontal="center"/>
      <protection locked="0"/>
    </xf>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0" fontId="157" fillId="0" borderId="0" applyNumberFormat="0" applyFill="0" applyBorder="0" applyAlignment="0" applyProtection="0"/>
    <xf numFmtId="38" fontId="52" fillId="36" borderId="0" applyNumberFormat="0" applyBorder="0" applyAlignment="0" applyProtection="0"/>
    <xf numFmtId="1" fontId="158" fillId="36" borderId="0">
      <alignment horizontal="center"/>
      <protection locked="0" hidden="1"/>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0" fontId="43" fillId="0" borderId="52">
      <alignment horizontal="center"/>
    </xf>
    <xf numFmtId="296" fontId="159" fillId="0" borderId="0"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297" fontId="5" fillId="0" borderId="0" applyFont="0" applyFill="0" applyBorder="0" applyAlignment="0" applyProtection="0">
      <alignment horizontal="right"/>
    </xf>
    <xf numFmtId="38" fontId="160" fillId="0" borderId="0" applyNumberFormat="0" applyFill="0" applyBorder="0" applyAlignment="0" applyProtection="0"/>
    <xf numFmtId="0" fontId="83" fillId="60" borderId="0"/>
    <xf numFmtId="0" fontId="161" fillId="38" borderId="0">
      <alignment horizontal="left"/>
    </xf>
    <xf numFmtId="0" fontId="162" fillId="0" borderId="0" applyNumberFormat="0" applyFill="0" applyBorder="0" applyAlignment="0" applyProtection="0"/>
    <xf numFmtId="0" fontId="89" fillId="0" borderId="53" applyNumberFormat="0" applyAlignment="0" applyProtection="0">
      <alignment horizontal="left" vertical="center"/>
    </xf>
    <xf numFmtId="0" fontId="89" fillId="0" borderId="5">
      <alignment horizontal="left" vertical="center"/>
    </xf>
    <xf numFmtId="0" fontId="89" fillId="0" borderId="5">
      <alignment horizontal="left" vertical="center"/>
    </xf>
    <xf numFmtId="0" fontId="89" fillId="0" borderId="5">
      <alignment horizontal="left" vertical="center"/>
    </xf>
    <xf numFmtId="0" fontId="163" fillId="0" borderId="0">
      <alignment horizontal="center"/>
    </xf>
    <xf numFmtId="0" fontId="43" fillId="0" borderId="0">
      <alignment horizontal="right" wrapText="1"/>
    </xf>
    <xf numFmtId="0" fontId="43" fillId="0" borderId="0"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38" fillId="0" borderId="0">
      <protection locked="0"/>
    </xf>
    <xf numFmtId="0" fontId="38" fillId="0" borderId="0">
      <protection locked="0"/>
    </xf>
    <xf numFmtId="49" fontId="43" fillId="0" borderId="0"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17" fontId="5" fillId="0" borderId="0" applyFill="0" applyBorder="0">
      <alignment horizontal="center"/>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164" fillId="0" borderId="31">
      <alignment horizontal="center"/>
    </xf>
    <xf numFmtId="0" fontId="164" fillId="0" borderId="0">
      <alignment horizontal="center"/>
    </xf>
    <xf numFmtId="0" fontId="165" fillId="38" borderId="0" applyNumberFormat="0" applyFont="0" applyFill="0" applyBorder="0" applyAlignment="0">
      <alignment horizontal="centerContinuous"/>
    </xf>
    <xf numFmtId="0" fontId="166" fillId="62" borderId="0" applyNumberFormat="0" applyFont="0" applyBorder="0" applyAlignment="0" applyProtection="0"/>
    <xf numFmtId="0" fontId="146" fillId="0" borderId="55" applyNumberFormat="0" applyFill="0" applyAlignment="0" applyProtection="0"/>
    <xf numFmtId="37" fontId="167" fillId="0" borderId="0" applyNumberFormat="0" applyBorder="0">
      <alignment horizontal="center"/>
    </xf>
    <xf numFmtId="37" fontId="43" fillId="0" borderId="0"/>
    <xf numFmtId="0" fontId="168" fillId="0" borderId="0" applyNumberFormat="0" applyFill="0" applyBorder="0" applyAlignment="0" applyProtection="0">
      <alignment vertical="top"/>
      <protection locked="0"/>
    </xf>
    <xf numFmtId="298" fontId="169" fillId="0" borderId="0" applyNumberFormat="0" applyFill="0" applyBorder="0" applyAlignment="0" applyProtection="0"/>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37" fontId="146" fillId="0" borderId="0" applyFill="0" applyBorder="0">
      <protection locked="0"/>
    </xf>
    <xf numFmtId="181" fontId="146" fillId="0" borderId="0" applyFill="0" applyBorder="0">
      <protection locked="0"/>
    </xf>
    <xf numFmtId="39" fontId="146" fillId="0" borderId="0" applyFill="0" applyBorder="0">
      <protection locked="0"/>
    </xf>
    <xf numFmtId="219" fontId="146" fillId="0" borderId="0" applyFill="0" applyBorder="0">
      <protection locked="0"/>
    </xf>
    <xf numFmtId="220" fontId="146" fillId="0" borderId="0" applyFill="0" applyBorder="0">
      <protection locked="0"/>
    </xf>
    <xf numFmtId="221" fontId="146" fillId="0" borderId="0" applyFill="0" applyBorder="0">
      <protection locked="0"/>
    </xf>
    <xf numFmtId="222" fontId="5" fillId="0" borderId="0" applyFill="0" applyBorder="0">
      <protection locked="0"/>
    </xf>
    <xf numFmtId="223" fontId="5" fillId="0" borderId="0" applyFill="0" applyBorder="0">
      <protection locked="0"/>
    </xf>
    <xf numFmtId="224" fontId="5" fillId="0" borderId="0" applyFill="0" applyBorder="0">
      <protection locked="0"/>
    </xf>
    <xf numFmtId="202" fontId="5" fillId="0" borderId="0" applyFill="0" applyBorder="0">
      <protection locked="0"/>
    </xf>
    <xf numFmtId="242" fontId="5" fillId="0" borderId="0" applyFill="0" applyBorder="0">
      <protection locked="0"/>
    </xf>
    <xf numFmtId="9" fontId="146" fillId="0" borderId="0" applyFill="0" applyBorder="0">
      <protection locked="0"/>
    </xf>
    <xf numFmtId="173" fontId="146" fillId="0" borderId="0" applyFill="0" applyBorder="0">
      <protection locked="0"/>
    </xf>
    <xf numFmtId="10" fontId="146" fillId="0" borderId="0"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181" fontId="60" fillId="60" borderId="0"/>
    <xf numFmtId="0" fontId="170" fillId="63" borderId="0">
      <alignment horizontal="right"/>
    </xf>
    <xf numFmtId="8" fontId="52" fillId="33" borderId="0" applyFont="0" applyBorder="0" applyAlignment="0" applyProtection="0">
      <protection locked="0"/>
    </xf>
    <xf numFmtId="14" fontId="171" fillId="0" borderId="0"/>
    <xf numFmtId="279" fontId="139" fillId="51" borderId="0"/>
    <xf numFmtId="293" fontId="52" fillId="33" borderId="0" applyFont="0" applyBorder="0" applyAlignment="0">
      <protection locked="0"/>
    </xf>
    <xf numFmtId="0" fontId="171" fillId="0" borderId="0"/>
    <xf numFmtId="37" fontId="30" fillId="33" borderId="0"/>
    <xf numFmtId="37" fontId="37" fillId="33" borderId="0" applyFont="0" applyProtection="0"/>
    <xf numFmtId="37" fontId="30" fillId="33" borderId="0"/>
    <xf numFmtId="212" fontId="171" fillId="0" borderId="0">
      <alignment horizontal="right"/>
    </xf>
    <xf numFmtId="0" fontId="30" fillId="33" borderId="0"/>
    <xf numFmtId="10" fontId="52" fillId="33" borderId="0">
      <protection locked="0"/>
    </xf>
    <xf numFmtId="212" fontId="171" fillId="0" borderId="0">
      <alignment horizontal="right"/>
    </xf>
    <xf numFmtId="206" fontId="172" fillId="33" borderId="0" applyNumberFormat="0" applyBorder="0" applyAlignment="0">
      <protection locked="0"/>
    </xf>
    <xf numFmtId="0" fontId="5" fillId="0" borderId="0" applyNumberFormat="0" applyFill="0" applyBorder="0" applyAlignment="0">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299" fontId="173" fillId="0" borderId="0" applyFill="0" applyBorder="0" applyProtection="0">
      <alignment vertical="center"/>
    </xf>
    <xf numFmtId="257" fontId="173" fillId="0" borderId="0" applyFill="0" applyBorder="0" applyProtection="0">
      <alignment vertical="center"/>
    </xf>
    <xf numFmtId="300" fontId="173" fillId="0" borderId="0" applyFill="0" applyBorder="0" applyProtection="0">
      <alignment vertical="center"/>
    </xf>
    <xf numFmtId="301" fontId="173" fillId="0" borderId="0" applyFill="0" applyBorder="0" applyProtection="0">
      <alignment vertical="center"/>
    </xf>
    <xf numFmtId="302" fontId="5" fillId="0" borderId="0"/>
    <xf numFmtId="39" fontId="52" fillId="37" borderId="0"/>
    <xf numFmtId="38" fontId="174" fillId="0" borderId="0" applyNumberFormat="0" applyBorder="0" applyProtection="0">
      <alignment horizontal="left"/>
    </xf>
    <xf numFmtId="303" fontId="52" fillId="0" borderId="0" applyFill="0" applyBorder="0">
      <alignment horizontal="right"/>
      <protection locked="0"/>
    </xf>
    <xf numFmtId="0" fontId="26" fillId="42" borderId="30">
      <alignment horizontal="left" vertical="center" wrapText="1"/>
    </xf>
    <xf numFmtId="0" fontId="26" fillId="42" borderId="30">
      <alignment horizontal="left" vertical="center" wrapText="1"/>
    </xf>
    <xf numFmtId="0" fontId="26" fillId="42" borderId="30">
      <alignment horizontal="left" vertical="center" wrapText="1"/>
    </xf>
    <xf numFmtId="260" fontId="5" fillId="0" borderId="0" applyNumberFormat="0" applyFill="0" applyBorder="0" applyAlignment="0" applyProtection="0"/>
    <xf numFmtId="0" fontId="64" fillId="0" borderId="0" applyNumberFormat="0" applyFont="0" applyFill="0" applyBorder="0" applyAlignment="0" applyProtection="0"/>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151" fillId="0" borderId="5">
      <alignment horizontal="right"/>
    </xf>
    <xf numFmtId="0" fontId="151" fillId="0" borderId="5">
      <alignment horizontal="right"/>
    </xf>
    <xf numFmtId="0" fontId="151" fillId="0" borderId="5">
      <alignment horizontal="right"/>
    </xf>
    <xf numFmtId="2" fontId="32" fillId="37" borderId="0"/>
    <xf numFmtId="0" fontId="5" fillId="0" borderId="0" applyNumberFormat="0" applyFont="0" applyFill="0" applyBorder="0">
      <alignment horizontal="left"/>
    </xf>
    <xf numFmtId="0" fontId="175"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0" fontId="5" fillId="48" borderId="56" applyNumberFormat="0" applyFont="0" applyBorder="0" applyAlignment="0">
      <alignment horizontal="center" vertical="top"/>
    </xf>
    <xf numFmtId="0" fontId="177" fillId="0" borderId="0"/>
    <xf numFmtId="0" fontId="178" fillId="0" borderId="0">
      <alignment horizontal="left" vertical="center" indent="1"/>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0">
      <alignment horizontal="right"/>
    </xf>
    <xf numFmtId="210" fontId="23" fillId="0" borderId="0">
      <alignment horizontal="left"/>
    </xf>
    <xf numFmtId="0" fontId="52" fillId="36" borderId="0"/>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181" fontId="179" fillId="41" borderId="0"/>
    <xf numFmtId="38" fontId="180" fillId="0" borderId="0" applyNumberFormat="0" applyFill="0" applyBorder="0" applyAlignment="0" applyProtection="0"/>
    <xf numFmtId="3" fontId="181" fillId="0" borderId="0" applyFill="0" applyBorder="0" applyAlignment="0" applyProtection="0"/>
    <xf numFmtId="9" fontId="63" fillId="36" borderId="0" applyNumberFormat="0" applyFont="0" applyBorder="0" applyAlignment="0">
      <protection locked="0"/>
    </xf>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0" fontId="149" fillId="0" borderId="0"/>
    <xf numFmtId="0" fontId="182" fillId="0" borderId="0"/>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296" fontId="183" fillId="0" borderId="0" applyFill="0" applyBorder="0" applyAlignment="0" applyProtection="0"/>
    <xf numFmtId="37" fontId="151" fillId="0" borderId="0" applyBorder="0">
      <alignment horizontal="right"/>
    </xf>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38" fontId="39" fillId="0" borderId="0" applyFont="0" applyFill="0" applyBorder="0" applyAlignment="0" applyProtection="0"/>
    <xf numFmtId="40" fontId="39" fillId="0" borderId="0" applyFont="0" applyFill="0" applyBorder="0" applyAlignment="0" applyProtection="0"/>
    <xf numFmtId="305" fontId="5" fillId="0" borderId="0" applyFont="0" applyFill="0" applyBorder="0" applyAlignment="0" applyProtection="0"/>
    <xf numFmtId="306" fontId="5" fillId="0" borderId="0" applyFont="0" applyFill="0" applyBorder="0" applyAlignment="0" applyProtection="0"/>
    <xf numFmtId="307" fontId="5" fillId="0" borderId="0" applyFont="0" applyFill="0" applyBorder="0" applyAlignment="0" applyProtection="0"/>
    <xf numFmtId="308" fontId="5" fillId="0" borderId="0" applyFont="0" applyFill="0" applyBorder="0" applyAlignment="0" applyProtection="0"/>
    <xf numFmtId="309" fontId="184" fillId="0" borderId="0" applyFont="0" applyFill="0" applyBorder="0"/>
    <xf numFmtId="310" fontId="5" fillId="0" borderId="0" applyFont="0" applyFill="0" applyBorder="0"/>
    <xf numFmtId="310" fontId="5" fillId="0" borderId="0" applyFont="0" applyFill="0" applyBorder="0"/>
    <xf numFmtId="311" fontId="5" fillId="0" borderId="0"/>
    <xf numFmtId="310" fontId="5" fillId="0" borderId="0" applyFont="0" applyFill="0" applyBorder="0"/>
    <xf numFmtId="312" fontId="5" fillId="0" borderId="0" applyFont="0" applyFill="0" applyBorder="0" applyAlignment="0" applyProtection="0"/>
    <xf numFmtId="313" fontId="5" fillId="0" borderId="0" applyFont="0" applyFill="0" applyBorder="0" applyAlignment="0" applyProtection="0"/>
    <xf numFmtId="314" fontId="5" fillId="0" borderId="0" applyFont="0" applyFill="0" applyBorder="0" applyAlignment="0" applyProtection="0"/>
    <xf numFmtId="308" fontId="5" fillId="0" borderId="0" applyFont="0" applyFill="0" applyBorder="0" applyAlignment="0" applyProtection="0"/>
    <xf numFmtId="0" fontId="137" fillId="0" borderId="0">
      <protection locked="0"/>
    </xf>
    <xf numFmtId="315" fontId="67" fillId="0" borderId="0" applyFont="0" applyFill="0" applyBorder="0" applyAlignment="0" applyProtection="0">
      <alignment horizontal="left" vertical="center"/>
    </xf>
    <xf numFmtId="237" fontId="5" fillId="0" borderId="0" applyFont="0" applyFill="0" applyBorder="0" applyAlignment="0" applyProtection="0"/>
    <xf numFmtId="316" fontId="5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7" fontId="78" fillId="0" borderId="0" applyFont="0" applyFill="0" applyBorder="0" applyProtection="0"/>
    <xf numFmtId="318" fontId="78" fillId="0" borderId="0" applyFont="0" applyFill="0" applyBorder="0" applyProtection="0"/>
    <xf numFmtId="209" fontId="5" fillId="0" borderId="0" applyFont="0" applyFill="0" applyBorder="0" applyAlignment="0" applyProtection="0"/>
    <xf numFmtId="300" fontId="113" fillId="0" borderId="0" applyFill="0" applyBorder="0" applyProtection="0">
      <alignment vertical="center"/>
    </xf>
    <xf numFmtId="213" fontId="5" fillId="0" borderId="57">
      <alignment horizontal="right"/>
    </xf>
    <xf numFmtId="319" fontId="52" fillId="36" borderId="0" applyFont="0" applyBorder="0" applyAlignment="0" applyProtection="0">
      <alignment horizontal="right"/>
      <protection hidden="1"/>
    </xf>
    <xf numFmtId="0" fontId="185" fillId="0" borderId="0"/>
    <xf numFmtId="0" fontId="11" fillId="5" borderId="0" applyNumberFormat="0" applyBorder="0" applyAlignment="0" applyProtection="0"/>
    <xf numFmtId="0" fontId="23" fillId="0" borderId="0"/>
    <xf numFmtId="0" fontId="186" fillId="0" borderId="58" applyNumberFormat="0" applyAlignment="0"/>
    <xf numFmtId="15" fontId="5" fillId="64" borderId="18" applyNumberFormat="0" applyBorder="0" applyAlignment="0">
      <alignment horizontal="center"/>
    </xf>
    <xf numFmtId="37" fontId="187" fillId="0" borderId="0"/>
    <xf numFmtId="0" fontId="5" fillId="0" borderId="59">
      <alignment horizontal="center"/>
    </xf>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320" fontId="78" fillId="0" borderId="0" applyFont="0" applyFill="0" applyBorder="0" applyProtection="0"/>
    <xf numFmtId="321" fontId="78" fillId="0" borderId="0" applyFont="0" applyFill="0" applyBorder="0" applyProtection="0"/>
    <xf numFmtId="322" fontId="78" fillId="0" borderId="0" applyFont="0" applyFill="0" applyBorder="0" applyProtection="0"/>
    <xf numFmtId="323" fontId="78" fillId="0" borderId="0" applyFont="0" applyFill="0" applyBorder="0" applyProtection="0"/>
    <xf numFmtId="324" fontId="78" fillId="0" borderId="0" applyFont="0" applyFill="0" applyBorder="0" applyProtection="0"/>
    <xf numFmtId="0" fontId="23" fillId="0" borderId="0"/>
    <xf numFmtId="325" fontId="52" fillId="0" borderId="0" applyFont="0" applyFill="0" applyBorder="0" applyAlignment="0" applyProtection="0">
      <alignment horizontal="right"/>
    </xf>
    <xf numFmtId="326" fontId="23" fillId="0" borderId="0"/>
    <xf numFmtId="0" fontId="5"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38" fontId="30" fillId="0" borderId="0" applyFont="0" applyFill="0" applyBorder="0" applyAlignment="0" applyProtection="0"/>
    <xf numFmtId="0" fontId="23" fillId="0" borderId="0" applyFont="0" applyFill="0" applyBorder="0" applyAlignment="0" applyProtection="0"/>
    <xf numFmtId="40" fontId="52" fillId="0" borderId="0" applyFont="0" applyFill="0" applyBorder="0" applyAlignment="0"/>
    <xf numFmtId="194" fontId="52" fillId="0" borderId="0" applyFont="0" applyFill="0" applyBorder="0" applyAlignment="0"/>
    <xf numFmtId="0" fontId="5" fillId="0" borderId="0"/>
    <xf numFmtId="0" fontId="1" fillId="0" borderId="0"/>
    <xf numFmtId="0" fontId="114"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alignment wrapText="1"/>
    </xf>
    <xf numFmtId="0" fontId="5" fillId="0" borderId="0">
      <alignment wrapText="1"/>
    </xf>
    <xf numFmtId="0" fontId="1" fillId="0" borderId="0"/>
    <xf numFmtId="0" fontId="5" fillId="0" borderId="0" applyNumberFormat="0" applyFill="0" applyBorder="0" applyAlignment="0" applyProtection="0"/>
    <xf numFmtId="0" fontId="5"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88" fillId="0" borderId="0"/>
    <xf numFmtId="0" fontId="114" fillId="0" borderId="0"/>
    <xf numFmtId="0" fontId="114" fillId="0" borderId="0"/>
    <xf numFmtId="0" fontId="114" fillId="0" borderId="0"/>
    <xf numFmtId="0" fontId="114" fillId="0" borderId="0"/>
    <xf numFmtId="0" fontId="1" fillId="0" borderId="0"/>
    <xf numFmtId="0" fontId="114" fillId="0" borderId="0"/>
    <xf numFmtId="0" fontId="1" fillId="0" borderId="0"/>
    <xf numFmtId="0" fontId="1" fillId="0" borderId="0"/>
    <xf numFmtId="0" fontId="188"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35" fillId="0" borderId="0"/>
    <xf numFmtId="0" fontId="1" fillId="0" borderId="0"/>
    <xf numFmtId="0" fontId="78" fillId="0" borderId="0"/>
    <xf numFmtId="0" fontId="114" fillId="0" borderId="0"/>
    <xf numFmtId="0" fontId="114" fillId="0" borderId="0"/>
    <xf numFmtId="0" fontId="114" fillId="0" borderId="0"/>
    <xf numFmtId="0" fontId="35" fillId="0" borderId="0"/>
    <xf numFmtId="0" fontId="5" fillId="0" borderId="0">
      <alignment vertical="center"/>
    </xf>
    <xf numFmtId="0" fontId="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 fillId="0" borderId="0"/>
    <xf numFmtId="0" fontId="1" fillId="0" borderId="0"/>
    <xf numFmtId="0" fontId="1" fillId="0" borderId="0"/>
    <xf numFmtId="0" fontId="1" fillId="0" borderId="0"/>
    <xf numFmtId="0" fontId="1" fillId="0" borderId="0"/>
    <xf numFmtId="0" fontId="78" fillId="0" borderId="0"/>
    <xf numFmtId="0" fontId="114" fillId="0" borderId="0"/>
    <xf numFmtId="0" fontId="189" fillId="0" borderId="0"/>
    <xf numFmtId="0" fontId="22"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14" fillId="0" borderId="0"/>
    <xf numFmtId="0" fontId="78" fillId="0" borderId="0"/>
    <xf numFmtId="0" fontId="114" fillId="0" borderId="0"/>
    <xf numFmtId="0" fontId="114" fillId="0" borderId="0"/>
    <xf numFmtId="0" fontId="114" fillId="0" borderId="0"/>
    <xf numFmtId="0" fontId="114" fillId="0" borderId="0"/>
    <xf numFmtId="0" fontId="114" fillId="0" borderId="0"/>
    <xf numFmtId="0" fontId="5" fillId="0" borderId="0"/>
    <xf numFmtId="0" fontId="5" fillId="0" borderId="0"/>
    <xf numFmtId="0" fontId="1" fillId="0" borderId="0"/>
    <xf numFmtId="0" fontId="114" fillId="0" borderId="0"/>
    <xf numFmtId="0" fontId="46" fillId="0" borderId="0">
      <alignment vertical="top"/>
    </xf>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 fillId="0" borderId="0"/>
    <xf numFmtId="0" fontId="1" fillId="0" borderId="0"/>
    <xf numFmtId="0" fontId="39" fillId="0" borderId="0"/>
    <xf numFmtId="206" fontId="63" fillId="0" borderId="0" applyNumberFormat="0" applyFill="0" applyBorder="0" applyAlignment="0" applyProtection="0"/>
    <xf numFmtId="38" fontId="190" fillId="0" borderId="0" applyFill="0" applyBorder="0" applyProtection="0"/>
    <xf numFmtId="206" fontId="63" fillId="0" borderId="0" applyNumberFormat="0" applyFill="0" applyBorder="0" applyAlignment="0" applyProtection="0"/>
    <xf numFmtId="327" fontId="52" fillId="0" borderId="0" applyFont="0" applyFill="0" applyBorder="0" applyAlignment="0" applyProtection="0"/>
    <xf numFmtId="328" fontId="5" fillId="52" borderId="5">
      <alignment horizontal="center"/>
    </xf>
    <xf numFmtId="328" fontId="5" fillId="52" borderId="5">
      <alignment horizontal="center"/>
    </xf>
    <xf numFmtId="328" fontId="5" fillId="52" borderId="5">
      <alignment horizontal="center"/>
    </xf>
    <xf numFmtId="328" fontId="5" fillId="0" borderId="0">
      <alignment horizontal="center"/>
    </xf>
    <xf numFmtId="329" fontId="5" fillId="0" borderId="0">
      <alignment horizontal="center"/>
    </xf>
    <xf numFmtId="330" fontId="52" fillId="0" borderId="0"/>
    <xf numFmtId="0" fontId="5" fillId="0" borderId="0" applyFont="0" applyAlignment="0">
      <alignment horizontal="center"/>
    </xf>
    <xf numFmtId="0" fontId="5" fillId="0" borderId="0" applyFont="0" applyAlignment="0">
      <alignment horizontal="center"/>
    </xf>
    <xf numFmtId="0" fontId="5" fillId="0" borderId="0" applyFont="0" applyAlignment="0">
      <alignment horizontal="center"/>
    </xf>
    <xf numFmtId="331" fontId="5" fillId="0" borderId="0"/>
    <xf numFmtId="6" fontId="191" fillId="0" borderId="0">
      <alignment horizontal="center"/>
    </xf>
    <xf numFmtId="0" fontId="39" fillId="0" borderId="0"/>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206" fontId="52" fillId="33" borderId="0">
      <protection locked="0"/>
    </xf>
    <xf numFmtId="0" fontId="52" fillId="33" borderId="0">
      <protection locked="0"/>
    </xf>
    <xf numFmtId="332" fontId="5" fillId="0" borderId="0">
      <alignment horizontal="center" vertical="center"/>
    </xf>
    <xf numFmtId="206" fontId="52" fillId="0" borderId="0"/>
    <xf numFmtId="333" fontId="5" fillId="0" borderId="0"/>
    <xf numFmtId="334" fontId="5" fillId="0" borderId="0">
      <protection locked="0"/>
    </xf>
    <xf numFmtId="335" fontId="52" fillId="0" borderId="0" applyFont="0" applyFill="0" applyBorder="0" applyAlignment="0" applyProtection="0"/>
    <xf numFmtId="336" fontId="52" fillId="0" borderId="0" applyFont="0" applyFill="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238" fontId="192" fillId="0" borderId="60" applyNumberFormat="0" applyBorder="0" applyAlignment="0" applyProtection="0">
      <alignment horizontal="center" vertical="center"/>
    </xf>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337" fontId="193" fillId="0" borderId="0"/>
    <xf numFmtId="40" fontId="194" fillId="0" borderId="0" applyFill="0" applyBorder="0" applyProtection="0"/>
    <xf numFmtId="338" fontId="52" fillId="0" borderId="0" applyFont="0" applyFill="0" applyBorder="0" applyAlignment="0" applyProtection="0"/>
    <xf numFmtId="38" fontId="195" fillId="0" borderId="0"/>
    <xf numFmtId="37" fontId="23" fillId="0" borderId="0"/>
    <xf numFmtId="0" fontId="5" fillId="0" borderId="0"/>
    <xf numFmtId="0" fontId="5" fillId="0" borderId="0"/>
    <xf numFmtId="339" fontId="78" fillId="0" borderId="0" applyFont="0" applyFill="0" applyBorder="0" applyProtection="0"/>
    <xf numFmtId="340" fontId="78" fillId="0" borderId="0" applyFont="0" applyFill="0" applyBorder="0" applyProtection="0"/>
    <xf numFmtId="341" fontId="78" fillId="0" borderId="0" applyFont="0" applyFill="0" applyBorder="0" applyProtection="0"/>
    <xf numFmtId="0" fontId="5" fillId="0" borderId="0"/>
    <xf numFmtId="342" fontId="5" fillId="0" borderId="0"/>
    <xf numFmtId="342" fontId="5" fillId="0" borderId="0"/>
    <xf numFmtId="342" fontId="5" fillId="0" borderId="0"/>
    <xf numFmtId="37" fontId="5" fillId="0" borderId="0"/>
    <xf numFmtId="343" fontId="5" fillId="0" borderId="0" applyNumberFormat="0" applyFill="0" applyBorder="0" applyAlignment="0" applyProtection="0"/>
    <xf numFmtId="0" fontId="63"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6"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234" fontId="5" fillId="0" borderId="0" applyNumberFormat="0" applyFill="0" applyBorder="0" applyAlignment="0" applyProtection="0"/>
    <xf numFmtId="4" fontId="5" fillId="0" borderId="0"/>
    <xf numFmtId="344" fontId="52" fillId="0" borderId="0" applyFont="0" applyFill="0" applyBorder="0" applyAlignment="0" applyProtection="0"/>
    <xf numFmtId="218" fontId="5" fillId="0" borderId="0" applyFont="0" applyFill="0" applyBorder="0" applyAlignment="0" applyProtection="0"/>
    <xf numFmtId="285" fontId="5" fillId="0" borderId="0" applyFont="0" applyFill="0" applyBorder="0" applyAlignment="0" applyProtection="0"/>
    <xf numFmtId="40" fontId="197" fillId="0" borderId="0" applyFont="0" applyFill="0" applyBorder="0" applyAlignment="0" applyProtection="0"/>
    <xf numFmtId="38" fontId="197" fillId="0" borderId="0" applyFont="0" applyFill="0" applyBorder="0" applyAlignment="0" applyProtection="0"/>
    <xf numFmtId="0" fontId="5" fillId="0" borderId="0">
      <alignment horizontal="left" vertical="top"/>
      <protection locked="0"/>
    </xf>
    <xf numFmtId="0" fontId="198" fillId="0" borderId="0">
      <alignment horizontal="left"/>
    </xf>
    <xf numFmtId="345" fontId="5" fillId="0" borderId="0"/>
    <xf numFmtId="345" fontId="5" fillId="0" borderId="0"/>
    <xf numFmtId="40" fontId="46" fillId="55" borderId="0">
      <alignment horizontal="right"/>
    </xf>
    <xf numFmtId="0" fontId="199" fillId="42" borderId="0">
      <alignment horizontal="center"/>
    </xf>
    <xf numFmtId="0" fontId="200" fillId="67" borderId="0"/>
    <xf numFmtId="0" fontId="201" fillId="0" borderId="0"/>
    <xf numFmtId="9" fontId="202" fillId="0" borderId="0" applyBorder="0">
      <alignment horizontal="right"/>
    </xf>
    <xf numFmtId="0" fontId="201" fillId="0" borderId="0"/>
    <xf numFmtId="0" fontId="203" fillId="55" borderId="0" applyBorder="0">
      <alignment horizontal="centerContinuous"/>
    </xf>
    <xf numFmtId="0" fontId="204" fillId="67" borderId="0" applyBorder="0">
      <alignment horizontal="centerContinuous"/>
    </xf>
    <xf numFmtId="216" fontId="5" fillId="0" borderId="0" applyFont="0" applyFill="0" applyBorder="0" applyAlignment="0" applyProtection="0"/>
    <xf numFmtId="346" fontId="5" fillId="0" borderId="0" applyFont="0" applyFill="0" applyBorder="0" applyAlignment="0" applyProtection="0"/>
    <xf numFmtId="0" fontId="38" fillId="68" borderId="0" applyNumberFormat="0" applyFont="0" applyBorder="0" applyAlignment="0" applyProtection="0"/>
    <xf numFmtId="0" fontId="38" fillId="69" borderId="0" applyNumberFormat="0" applyFont="0" applyBorder="0" applyAlignment="0" applyProtection="0"/>
    <xf numFmtId="0" fontId="38" fillId="70" borderId="0" applyNumberFormat="0" applyFont="0" applyBorder="0" applyAlignment="0" applyProtection="0">
      <alignment horizontal="center"/>
    </xf>
    <xf numFmtId="0" fontId="38" fillId="71" borderId="62" applyNumberFormat="0" applyFont="0" applyBorder="0" applyAlignment="0" applyProtection="0"/>
    <xf numFmtId="0" fontId="38" fillId="72" borderId="62" applyNumberFormat="0" applyFont="0" applyBorder="0" applyAlignment="0"/>
    <xf numFmtId="0" fontId="38" fillId="73" borderId="62" applyNumberFormat="0" applyFont="0" applyBorder="0" applyAlignment="0"/>
    <xf numFmtId="0" fontId="52" fillId="74" borderId="0" applyNumberFormat="0" applyFont="0" applyBorder="0" applyAlignment="0" applyProtection="0">
      <alignment horizontal="center"/>
      <protection hidden="1"/>
    </xf>
    <xf numFmtId="0" fontId="205" fillId="0" borderId="0" applyFill="0" applyBorder="0" applyProtection="0">
      <alignment horizontal="left"/>
    </xf>
    <xf numFmtId="0" fontId="206" fillId="0" borderId="0" applyFill="0" applyBorder="0" applyProtection="0">
      <alignment horizontal="left"/>
    </xf>
    <xf numFmtId="0" fontId="5" fillId="0" borderId="0"/>
    <xf numFmtId="0" fontId="207" fillId="0" borderId="0"/>
    <xf numFmtId="0" fontId="5" fillId="39" borderId="0" applyNumberFormat="0" applyFont="0" applyBorder="0" applyAlignment="0" applyProtection="0">
      <protection hidden="1"/>
    </xf>
    <xf numFmtId="0" fontId="5" fillId="75" borderId="0" applyNumberFormat="0" applyFont="0" applyBorder="0" applyAlignment="0" applyProtection="0">
      <protection hidden="1"/>
    </xf>
    <xf numFmtId="0" fontId="5" fillId="76" borderId="0" applyNumberFormat="0" applyFont="0" applyBorder="0" applyAlignment="0" applyProtection="0">
      <protection hidden="1"/>
    </xf>
    <xf numFmtId="0" fontId="5" fillId="77" borderId="0" applyNumberFormat="0" applyFont="0" applyBorder="0" applyAlignment="0" applyProtection="0">
      <protection hidden="1"/>
    </xf>
    <xf numFmtId="0" fontId="5" fillId="78" borderId="0" applyNumberFormat="0" applyFont="0" applyBorder="0" applyAlignment="0" applyProtection="0">
      <protection hidden="1"/>
    </xf>
    <xf numFmtId="0" fontId="5" fillId="79" borderId="0" applyNumberFormat="0" applyFont="0" applyBorder="0" applyAlignment="0" applyProtection="0">
      <protection hidden="1"/>
    </xf>
    <xf numFmtId="347" fontId="52" fillId="0" borderId="0"/>
    <xf numFmtId="10" fontId="195" fillId="0" borderId="0"/>
    <xf numFmtId="14" fontId="65" fillId="0" borderId="0">
      <alignment horizontal="center" wrapText="1"/>
      <protection locked="0"/>
    </xf>
    <xf numFmtId="10" fontId="38" fillId="0" borderId="0"/>
    <xf numFmtId="348" fontId="112" fillId="0" borderId="0" applyFont="0" applyFill="0" applyBorder="0" applyAlignment="0" applyProtection="0"/>
    <xf numFmtId="349" fontId="23" fillId="0" borderId="0" applyFont="0" applyFill="0" applyBorder="0" applyAlignment="0" applyProtection="0"/>
    <xf numFmtId="350" fontId="5" fillId="0" borderId="0" applyFont="0" applyFill="0" applyBorder="0" applyAlignment="0" applyProtection="0"/>
    <xf numFmtId="351" fontId="5" fillId="0" borderId="0" applyFont="0" applyFill="0" applyBorder="0" applyAlignment="0" applyProtection="0"/>
    <xf numFmtId="0" fontId="52" fillId="0" borderId="0"/>
    <xf numFmtId="352" fontId="5" fillId="0" borderId="0" applyFont="0"/>
    <xf numFmtId="10" fontId="23" fillId="0" borderId="0" applyFont="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59" fontId="39" fillId="0" borderId="0" applyFont="0" applyFill="0" applyBorder="0" applyAlignment="0" applyProtection="0"/>
    <xf numFmtId="173" fontId="35" fillId="0" borderId="0" applyFont="0" applyFill="0" applyBorder="0" applyAlignment="0" applyProtection="0"/>
    <xf numFmtId="303" fontId="136" fillId="0" borderId="0" applyFill="0" applyBorder="0" applyAlignment="0" applyProtection="0"/>
    <xf numFmtId="173" fontId="35" fillId="0" borderId="0" applyFont="0" applyFill="0" applyBorder="0" applyAlignment="0" applyProtection="0"/>
    <xf numFmtId="353" fontId="136" fillId="33" borderId="2" applyFill="0" applyBorder="0" applyAlignment="0" applyProtection="0">
      <alignment horizontal="right"/>
      <protection locked="0"/>
    </xf>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0" fontId="23" fillId="33" borderId="0" applyFont="0" applyFill="0" applyBorder="0" applyAlignment="0" applyProtection="0"/>
    <xf numFmtId="0" fontId="23" fillId="33"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78"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354" fontId="65" fillId="0" borderId="0" applyFont="0" applyFill="0" applyBorder="0" applyProtection="0">
      <alignment horizontal="right"/>
    </xf>
    <xf numFmtId="355" fontId="5" fillId="0" borderId="0" applyFont="0" applyFill="0" applyBorder="0" applyAlignment="0" applyProtection="0"/>
    <xf numFmtId="355" fontId="5" fillId="0" borderId="0" applyFont="0" applyFill="0" applyBorder="0" applyAlignment="0" applyProtection="0"/>
    <xf numFmtId="355" fontId="5" fillId="0" borderId="0" applyFont="0" applyFill="0" applyBorder="0" applyAlignment="0" applyProtection="0"/>
    <xf numFmtId="173" fontId="5" fillId="0" borderId="0" applyFill="0" applyBorder="0"/>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10" fontId="80" fillId="37" borderId="0"/>
    <xf numFmtId="0" fontId="72" fillId="0" borderId="0"/>
    <xf numFmtId="0" fontId="208" fillId="0" borderId="0" applyNumberFormat="0"/>
    <xf numFmtId="357" fontId="104" fillId="0" borderId="0" applyFont="0" applyFill="0" applyBorder="0" applyAlignment="0" applyProtection="0">
      <alignment horizontal="left" vertical="center"/>
    </xf>
    <xf numFmtId="37" fontId="209" fillId="0" borderId="0"/>
    <xf numFmtId="0" fontId="39" fillId="0" borderId="0" applyNumberFormat="0" applyFont="0" applyFill="0" applyBorder="0" applyAlignment="0" applyProtection="0">
      <alignment horizontal="left"/>
    </xf>
    <xf numFmtId="15" fontId="39" fillId="0" borderId="0" applyFont="0" applyFill="0" applyBorder="0" applyAlignment="0" applyProtection="0"/>
    <xf numFmtId="4" fontId="39" fillId="0" borderId="0" applyFont="0" applyFill="0" applyBorder="0" applyAlignment="0" applyProtection="0"/>
    <xf numFmtId="0" fontId="26" fillId="0" borderId="31">
      <alignment horizontal="center"/>
    </xf>
    <xf numFmtId="3" fontId="39" fillId="0" borderId="0" applyFont="0" applyFill="0" applyBorder="0" applyAlignment="0" applyProtection="0"/>
    <xf numFmtId="0" fontId="39" fillId="47" borderId="0" applyNumberFormat="0" applyFont="0" applyBorder="0" applyAlignment="0" applyProtection="0"/>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37" fontId="52" fillId="48" borderId="0"/>
    <xf numFmtId="206" fontId="210" fillId="0" borderId="0" applyNumberFormat="0" applyFill="0" applyBorder="0" applyAlignment="0" applyProtection="0"/>
    <xf numFmtId="0" fontId="211" fillId="80" borderId="0" applyNumberFormat="0" applyFont="0" applyBorder="0" applyAlignment="0">
      <alignment horizontal="center"/>
    </xf>
    <xf numFmtId="0" fontId="209" fillId="0" borderId="0" applyNumberFormat="0" applyProtection="0">
      <alignment horizontal="center" wrapText="1"/>
    </xf>
    <xf numFmtId="0" fontId="209" fillId="0" borderId="0" applyNumberFormat="0" applyProtection="0">
      <alignment horizontal="center" wrapText="1"/>
    </xf>
    <xf numFmtId="263" fontId="154" fillId="0" borderId="0" applyNumberFormat="0" applyFill="0" applyBorder="0" applyAlignment="0" applyProtection="0">
      <alignment horizontal="left"/>
    </xf>
    <xf numFmtId="0" fontId="5" fillId="0" borderId="0" applyNumberFormat="0" applyFont="0" applyFill="0" applyBorder="0">
      <alignment horizontal="right"/>
    </xf>
    <xf numFmtId="49" fontId="43" fillId="52" borderId="5" applyNumberFormat="0">
      <alignment vertical="center"/>
    </xf>
    <xf numFmtId="49" fontId="43" fillId="52" borderId="5" applyNumberFormat="0">
      <alignment vertical="center"/>
    </xf>
    <xf numFmtId="49" fontId="43" fillId="52" borderId="5" applyNumberFormat="0">
      <alignment vertical="center"/>
    </xf>
    <xf numFmtId="210" fontId="23" fillId="0" borderId="0">
      <alignment horizontal="center"/>
    </xf>
    <xf numFmtId="0" fontId="188" fillId="0" borderId="0">
      <alignment wrapText="1"/>
    </xf>
    <xf numFmtId="0" fontId="188" fillId="0" borderId="0">
      <alignment wrapText="1"/>
    </xf>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09" fillId="37" borderId="0">
      <alignment horizontal="center" wrapText="1"/>
    </xf>
    <xf numFmtId="0" fontId="209" fillId="37" borderId="0">
      <alignment horizontal="center" wrapText="1"/>
    </xf>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23" fillId="81" borderId="0" applyNumberFormat="0" applyFont="0" applyBorder="0" applyAlignment="0" applyProtection="0"/>
    <xf numFmtId="0" fontId="211" fillId="1" borderId="5" applyNumberFormat="0" applyFont="0" applyAlignment="0">
      <alignment horizontal="center"/>
    </xf>
    <xf numFmtId="0" fontId="211" fillId="1" borderId="5" applyNumberFormat="0" applyFont="0" applyAlignment="0">
      <alignment horizontal="center"/>
    </xf>
    <xf numFmtId="0" fontId="211" fillId="1" borderId="5" applyNumberFormat="0" applyFont="0" applyAlignment="0">
      <alignment horizontal="center"/>
    </xf>
    <xf numFmtId="0" fontId="64" fillId="0" borderId="0"/>
    <xf numFmtId="0" fontId="5" fillId="0" borderId="0"/>
    <xf numFmtId="0" fontId="5" fillId="0" borderId="0"/>
    <xf numFmtId="0" fontId="5" fillId="0" borderId="0"/>
    <xf numFmtId="0" fontId="154" fillId="0" borderId="64"/>
    <xf numFmtId="0" fontId="212" fillId="0" borderId="0" applyNumberFormat="0" applyFill="0" applyBorder="0" applyAlignment="0">
      <alignment horizontal="center"/>
    </xf>
    <xf numFmtId="0" fontId="5" fillId="0" borderId="0" applyNumberFormat="0" applyFont="0" applyFill="0" applyBorder="0" applyAlignment="0" applyProtection="0"/>
    <xf numFmtId="270" fontId="5" fillId="0" borderId="0">
      <alignment horizontal="left"/>
    </xf>
    <xf numFmtId="0" fontId="40" fillId="0" borderId="0">
      <alignment vertical="center"/>
    </xf>
    <xf numFmtId="0" fontId="40" fillId="0" borderId="0">
      <alignment vertical="center"/>
    </xf>
    <xf numFmtId="0" fontId="35" fillId="0" borderId="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43" fillId="0" borderId="0" applyNumberFormat="0" applyFill="0" applyBorder="0" applyProtection="0">
      <alignment horizontal="left"/>
    </xf>
    <xf numFmtId="0" fontId="5" fillId="0" borderId="0" applyNumberFormat="0" applyFill="0" applyBorder="0" applyAlignment="0" applyProtection="0"/>
    <xf numFmtId="0" fontId="43" fillId="0" borderId="0" applyNumberFormat="0" applyFill="0" applyBorder="0" applyProtection="0">
      <alignment horizontal="center"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3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35" fillId="0" borderId="0"/>
    <xf numFmtId="0" fontId="35" fillId="0" borderId="0"/>
    <xf numFmtId="0" fontId="5" fillId="0" borderId="0"/>
    <xf numFmtId="0" fontId="5" fillId="0" borderId="0" applyNumberFormat="0" applyFill="0" applyBorder="0" applyAlignment="0" applyProtection="0"/>
    <xf numFmtId="0" fontId="35" fillId="0" borderId="0"/>
    <xf numFmtId="1" fontId="5" fillId="0" borderId="0" applyFill="0" applyBorder="0">
      <alignment horizontal="center"/>
    </xf>
    <xf numFmtId="0" fontId="46" fillId="0" borderId="0" applyNumberFormat="0" applyBorder="0" applyAlignment="0"/>
    <xf numFmtId="0" fontId="209" fillId="0" borderId="0">
      <alignment horizontal="left"/>
    </xf>
    <xf numFmtId="0" fontId="209" fillId="0" borderId="0">
      <alignment horizontal="left"/>
    </xf>
    <xf numFmtId="0" fontId="213" fillId="0" borderId="0"/>
    <xf numFmtId="241" fontId="43" fillId="0" borderId="5"/>
    <xf numFmtId="242" fontId="5" fillId="0" borderId="5"/>
    <xf numFmtId="242" fontId="5" fillId="0" borderId="5"/>
    <xf numFmtId="242" fontId="5" fillId="0" borderId="5"/>
    <xf numFmtId="242" fontId="5" fillId="0" borderId="5"/>
    <xf numFmtId="242" fontId="5" fillId="0" borderId="5"/>
    <xf numFmtId="242" fontId="5" fillId="0" borderId="5"/>
    <xf numFmtId="241" fontId="43" fillId="0" borderId="5"/>
    <xf numFmtId="241" fontId="43" fillId="0" borderId="5"/>
    <xf numFmtId="240" fontId="43" fillId="0" borderId="5" applyFill="0" applyAlignment="0" applyProtection="0">
      <alignment horizontal="left"/>
    </xf>
    <xf numFmtId="240" fontId="43" fillId="0" borderId="5" applyFill="0" applyAlignment="0" applyProtection="0">
      <alignment horizontal="left"/>
    </xf>
    <xf numFmtId="240" fontId="43" fillId="0" borderId="5" applyFill="0" applyAlignment="0" applyProtection="0">
      <alignment horizontal="left"/>
    </xf>
    <xf numFmtId="358" fontId="209"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358" fontId="209" fillId="33" borderId="2"/>
    <xf numFmtId="358" fontId="209" fillId="33" borderId="2"/>
    <xf numFmtId="358" fontId="209" fillId="33" borderId="2"/>
    <xf numFmtId="358" fontId="209" fillId="33" borderId="2"/>
    <xf numFmtId="0" fontId="214" fillId="0" borderId="65" applyNumberFormat="0" applyAlignment="0" applyProtection="0"/>
    <xf numFmtId="0" fontId="215" fillId="0" borderId="65" applyNumberFormat="0" applyAlignment="0" applyProtection="0">
      <alignment horizontal="left" vertical="top"/>
    </xf>
    <xf numFmtId="0" fontId="216" fillId="0" borderId="0" applyNumberFormat="0" applyProtection="0">
      <alignment horizontal="left" vertical="top"/>
    </xf>
    <xf numFmtId="0" fontId="5" fillId="0" borderId="0" applyNumberFormat="0" applyFont="0" applyAlignment="0" applyProtection="0"/>
    <xf numFmtId="0" fontId="216" fillId="0" borderId="0" applyNumberFormat="0" applyFill="0" applyBorder="0" applyProtection="0"/>
    <xf numFmtId="0" fontId="217" fillId="0" borderId="0" applyNumberFormat="0" applyFill="0" applyBorder="0" applyProtection="0">
      <alignmen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right" vertical="top"/>
    </xf>
    <xf numFmtId="0" fontId="218" fillId="0" borderId="5" applyNumberFormat="0" applyProtection="0">
      <alignment horizontal="right" vertical="top"/>
    </xf>
    <xf numFmtId="0" fontId="218" fillId="0" borderId="5" applyNumberFormat="0" applyProtection="0">
      <alignment horizontal="right" vertical="top"/>
    </xf>
    <xf numFmtId="0" fontId="215" fillId="0" borderId="0" applyNumberFormat="0" applyProtection="0">
      <alignment horizontal="left" vertical="top"/>
    </xf>
    <xf numFmtId="0" fontId="215" fillId="0" borderId="0"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5" fillId="0" borderId="66" applyNumberFormat="0" applyFont="0" applyAlignment="0" applyProtection="0"/>
    <xf numFmtId="0" fontId="5" fillId="0" borderId="57" applyNumberFormat="0" applyFont="0" applyAlignment="0" applyProtection="0"/>
    <xf numFmtId="0" fontId="5" fillId="0" borderId="67" applyNumberFormat="0" applyFont="0" applyAlignment="0" applyProtection="0"/>
    <xf numFmtId="10" fontId="219" fillId="0" borderId="0" applyNumberFormat="0" applyFill="0" applyBorder="0" applyProtection="0">
      <alignment horizontal="right" vertical="top"/>
    </xf>
    <xf numFmtId="0" fontId="215" fillId="0" borderId="5" applyNumberFormat="0" applyFill="0" applyAlignment="0" applyProtection="0"/>
    <xf numFmtId="0" fontId="215" fillId="0" borderId="5" applyNumberFormat="0" applyFill="0" applyAlignment="0" applyProtection="0"/>
    <xf numFmtId="0" fontId="215" fillId="0" borderId="5" applyNumberFormat="0" applyFill="0" applyAlignment="0" applyProtection="0"/>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20" fillId="0" borderId="0" applyFill="0" applyBorder="0" applyProtection="0">
      <alignment horizontal="center" vertical="center"/>
    </xf>
    <xf numFmtId="0" fontId="220" fillId="0" borderId="0" applyFill="0" applyBorder="0" applyProtection="0"/>
    <xf numFmtId="0" fontId="43" fillId="0" borderId="0" applyFill="0" applyBorder="0" applyProtection="0">
      <alignment horizontal="left"/>
    </xf>
    <xf numFmtId="0" fontId="221" fillId="0" borderId="0" applyFill="0" applyBorder="0" applyProtection="0">
      <alignment horizontal="left" vertical="top"/>
    </xf>
    <xf numFmtId="0" fontId="5" fillId="40" borderId="0" applyNumberFormat="0" applyBorder="0" applyProtection="0">
      <alignment vertical="top" wrapText="1"/>
    </xf>
    <xf numFmtId="0" fontId="5" fillId="40" borderId="0" applyNumberFormat="0" applyBorder="0" applyProtection="0">
      <alignment vertical="top" wrapText="1"/>
    </xf>
    <xf numFmtId="0" fontId="5" fillId="40" borderId="0" applyNumberFormat="0" applyBorder="0" applyProtection="0">
      <alignment vertical="top" wrapText="1"/>
    </xf>
    <xf numFmtId="49" fontId="5" fillId="82" borderId="0" applyFont="0" applyBorder="0" applyAlignment="0" applyProtection="0"/>
    <xf numFmtId="49" fontId="5" fillId="82" borderId="0" applyFont="0" applyBorder="0" applyAlignment="0" applyProtection="0"/>
    <xf numFmtId="49" fontId="5" fillId="82" borderId="0" applyFont="0" applyBorder="0" applyAlignment="0" applyProtection="0"/>
    <xf numFmtId="49" fontId="5" fillId="0" borderId="0"/>
    <xf numFmtId="49" fontId="5" fillId="0" borderId="0"/>
    <xf numFmtId="49" fontId="5" fillId="0" borderId="0"/>
    <xf numFmtId="0" fontId="5" fillId="0" borderId="0"/>
    <xf numFmtId="14" fontId="5" fillId="0" borderId="0"/>
    <xf numFmtId="168" fontId="5" fillId="0" borderId="0"/>
    <xf numFmtId="168" fontId="5" fillId="0" borderId="0"/>
    <xf numFmtId="38" fontId="222" fillId="0" borderId="0" applyNumberFormat="0" applyFill="0" applyBorder="0" applyProtection="0">
      <alignment horizontal="center"/>
    </xf>
    <xf numFmtId="0" fontId="89" fillId="0" borderId="0" applyNumberFormat="0" applyFill="0" applyBorder="0" applyAlignment="0" applyProtection="0"/>
    <xf numFmtId="0" fontId="89" fillId="0" borderId="0" applyNumberFormat="0" applyFill="0" applyBorder="0" applyAlignment="0" applyProtection="0"/>
    <xf numFmtId="0" fontId="223" fillId="0" borderId="0" applyNumberForma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37" fontId="224" fillId="0" borderId="0" applyNumberFormat="0">
      <alignment horizontal="center"/>
    </xf>
    <xf numFmtId="0" fontId="225"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3" fillId="37" borderId="0"/>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0" fontId="23" fillId="0" borderId="68">
      <alignment horizontal="right"/>
    </xf>
    <xf numFmtId="292" fontId="5" fillId="0" borderId="68">
      <alignment horizontal="right"/>
    </xf>
    <xf numFmtId="292" fontId="5" fillId="0" borderId="68">
      <alignment horizontal="right"/>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52" fillId="40" borderId="0" applyNumberFormat="0" applyBorder="0" applyAlignment="0" applyProtection="0"/>
    <xf numFmtId="37" fontId="52" fillId="0" borderId="0"/>
    <xf numFmtId="37" fontId="52" fillId="0" borderId="0"/>
    <xf numFmtId="3" fontId="134" fillId="0" borderId="55" applyProtection="0"/>
    <xf numFmtId="0" fontId="23" fillId="55" borderId="0" applyNumberFormat="0" applyFont="0" applyAlignment="0">
      <alignment horizontal="right"/>
    </xf>
    <xf numFmtId="224" fontId="184" fillId="0" borderId="0" applyFont="0" applyFill="0" applyBorder="0" applyAlignment="0" applyProtection="0"/>
    <xf numFmtId="359" fontId="5" fillId="0" borderId="0" applyFont="0" applyFill="0" applyBorder="0" applyAlignment="0" applyProtection="0"/>
    <xf numFmtId="359" fontId="5" fillId="0" borderId="0" applyFont="0" applyFill="0" applyBorder="0" applyAlignment="0" applyProtection="0"/>
    <xf numFmtId="0" fontId="39" fillId="83" borderId="0" applyNumberFormat="0" applyFont="0" applyBorder="0" applyAlignment="0" applyProtection="0">
      <protection locked="0"/>
    </xf>
    <xf numFmtId="0" fontId="39" fillId="83" borderId="0" applyNumberFormat="0" applyFont="0" applyBorder="0" applyAlignment="0" applyProtection="0">
      <protection locked="0"/>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227" fillId="33" borderId="14" applyNumberFormat="0" applyFill="0" applyBorder="0">
      <alignment horizontal="center"/>
    </xf>
    <xf numFmtId="0" fontId="227" fillId="33" borderId="14" applyNumberFormat="0" applyFill="0" applyBorder="0">
      <alignment horizontal="center"/>
    </xf>
    <xf numFmtId="0" fontId="227" fillId="33" borderId="14" applyNumberFormat="0" applyFill="0" applyBorder="0">
      <alignment horizontal="center"/>
    </xf>
    <xf numFmtId="209" fontId="65" fillId="0" borderId="0" applyFont="0" applyFill="0" applyBorder="0" applyProtection="0">
      <alignment horizontal="right"/>
    </xf>
    <xf numFmtId="0" fontId="25" fillId="0" borderId="0"/>
    <xf numFmtId="43" fontId="67" fillId="0" borderId="0" applyFont="0" applyFill="0" applyBorder="0" applyAlignment="0" applyProtection="0"/>
    <xf numFmtId="41" fontId="67" fillId="0" borderId="0" applyFont="0" applyFill="0" applyBorder="0" applyAlignment="0" applyProtection="0"/>
    <xf numFmtId="0" fontId="196" fillId="0" borderId="0"/>
    <xf numFmtId="44" fontId="67" fillId="0" borderId="0" applyFont="0" applyFill="0" applyBorder="0" applyAlignment="0" applyProtection="0"/>
    <xf numFmtId="42" fontId="67" fillId="0" borderId="0" applyFont="0" applyFill="0" applyBorder="0" applyAlignment="0" applyProtection="0"/>
    <xf numFmtId="0" fontId="228" fillId="0" borderId="0"/>
  </cellStyleXfs>
  <cellXfs count="59">
    <xf numFmtId="0" fontId="0" fillId="0" borderId="0" xfId="0"/>
    <xf numFmtId="0" fontId="3" fillId="0" borderId="2" xfId="0" applyFont="1" applyBorder="1" applyAlignment="1">
      <alignment horizontal="left" vertical="center" wrapText="1"/>
    </xf>
    <xf numFmtId="0" fontId="3" fillId="0" borderId="2" xfId="0" applyFont="1" applyBorder="1" applyAlignment="1">
      <alignment horizontal="left"/>
    </xf>
    <xf numFmtId="0" fontId="3" fillId="0" borderId="2" xfId="0" applyFont="1" applyBorder="1" applyAlignment="1">
      <alignment horizontal="left" vertical="center"/>
    </xf>
    <xf numFmtId="0" fontId="0" fillId="0" borderId="0" xfId="0" applyAlignment="1">
      <alignment vertical="top"/>
    </xf>
    <xf numFmtId="0" fontId="0" fillId="0" borderId="2" xfId="0" applyBorder="1"/>
    <xf numFmtId="0" fontId="229" fillId="87" borderId="2" xfId="0" applyFont="1" applyFill="1" applyBorder="1" applyAlignment="1">
      <alignment horizontal="center" vertical="top"/>
    </xf>
    <xf numFmtId="0" fontId="229" fillId="87" borderId="2" xfId="0" applyFont="1" applyFill="1" applyBorder="1" applyAlignment="1">
      <alignment horizontal="center" vertical="top" wrapText="1"/>
    </xf>
    <xf numFmtId="0" fontId="2" fillId="0" borderId="0" xfId="0" applyFont="1"/>
    <xf numFmtId="0" fontId="229" fillId="88" borderId="2" xfId="0" applyFont="1" applyFill="1" applyBorder="1" applyAlignment="1">
      <alignment horizontal="center" vertical="top" wrapText="1"/>
    </xf>
    <xf numFmtId="0" fontId="229" fillId="88" borderId="2" xfId="0" applyFont="1" applyFill="1" applyBorder="1" applyAlignment="1">
      <alignment horizontal="center" vertical="top"/>
    </xf>
    <xf numFmtId="49" fontId="229" fillId="88" borderId="2" xfId="0" applyNumberFormat="1" applyFont="1" applyFill="1" applyBorder="1" applyAlignment="1">
      <alignment horizontal="center" vertical="top"/>
    </xf>
    <xf numFmtId="49" fontId="229" fillId="88" borderId="2" xfId="0" applyNumberFormat="1" applyFont="1" applyFill="1" applyBorder="1" applyAlignment="1">
      <alignment horizontal="center" vertical="top" wrapText="1"/>
    </xf>
    <xf numFmtId="0" fontId="229" fillId="84" borderId="2" xfId="0" applyFont="1" applyFill="1" applyBorder="1" applyAlignment="1">
      <alignment horizontal="center" vertical="top" wrapText="1"/>
    </xf>
    <xf numFmtId="0" fontId="229" fillId="84" borderId="26" xfId="0" applyFont="1" applyFill="1" applyBorder="1" applyAlignment="1">
      <alignment vertical="top" wrapText="1"/>
    </xf>
    <xf numFmtId="0" fontId="229" fillId="84" borderId="26" xfId="0" applyFont="1" applyFill="1" applyBorder="1" applyAlignment="1">
      <alignment vertical="top"/>
    </xf>
    <xf numFmtId="0" fontId="229" fillId="89" borderId="54" xfId="0" applyFont="1" applyFill="1" applyBorder="1" applyAlignment="1">
      <alignment vertical="top"/>
    </xf>
    <xf numFmtId="0" fontId="229" fillId="86" borderId="5" xfId="0" applyFont="1" applyFill="1" applyBorder="1" applyAlignment="1">
      <alignment horizontal="center" vertical="center" wrapText="1"/>
    </xf>
    <xf numFmtId="0" fontId="229" fillId="90" borderId="2" xfId="0" applyFont="1" applyFill="1" applyBorder="1" applyAlignment="1">
      <alignment horizontal="center" vertical="top" wrapText="1"/>
    </xf>
    <xf numFmtId="0" fontId="3" fillId="0" borderId="2" xfId="0" applyFont="1" applyBorder="1" applyAlignment="1">
      <alignment vertical="center"/>
    </xf>
    <xf numFmtId="0" fontId="229" fillId="84" borderId="2" xfId="0" applyFont="1" applyFill="1" applyBorder="1" applyAlignment="1">
      <alignment horizontal="center" vertical="top"/>
    </xf>
    <xf numFmtId="0" fontId="3" fillId="0" borderId="2" xfId="0" applyFont="1" applyBorder="1"/>
    <xf numFmtId="0" fontId="3" fillId="0" borderId="0" xfId="0" applyFont="1"/>
    <xf numFmtId="0" fontId="232" fillId="87" borderId="2" xfId="0" applyFont="1" applyFill="1" applyBorder="1" applyAlignment="1">
      <alignment horizontal="center" vertical="top" wrapText="1"/>
    </xf>
    <xf numFmtId="0" fontId="17" fillId="0" borderId="2" xfId="0" applyFont="1" applyBorder="1"/>
    <xf numFmtId="0" fontId="235" fillId="0" borderId="0" xfId="0" applyFont="1" applyAlignment="1">
      <alignment horizontal="right"/>
    </xf>
    <xf numFmtId="0" fontId="234" fillId="0" borderId="0" xfId="0" applyFont="1"/>
    <xf numFmtId="0" fontId="0" fillId="0" borderId="2" xfId="0" applyBorder="1" applyAlignment="1">
      <alignment horizontal="left" vertical="top" wrapText="1"/>
    </xf>
    <xf numFmtId="0" fontId="2" fillId="0" borderId="0" xfId="0" applyFont="1" applyAlignment="1">
      <alignment vertical="top" wrapText="1"/>
    </xf>
    <xf numFmtId="0" fontId="3" fillId="0" borderId="2" xfId="0" applyFont="1" applyBorder="1" applyAlignment="1">
      <alignment horizontal="left" vertical="top" wrapText="1"/>
    </xf>
    <xf numFmtId="0" fontId="0" fillId="0" borderId="0" xfId="0" applyAlignment="1">
      <alignment vertical="top" wrapText="1"/>
    </xf>
    <xf numFmtId="0" fontId="229" fillId="88" borderId="2" xfId="0" applyFont="1" applyFill="1" applyBorder="1" applyAlignment="1">
      <alignment horizontal="left" vertical="top" wrapText="1"/>
    </xf>
    <xf numFmtId="0" fontId="2" fillId="0" borderId="0" xfId="0" applyFont="1" applyAlignment="1">
      <alignment horizontal="left" vertical="top"/>
    </xf>
    <xf numFmtId="0" fontId="229" fillId="87" borderId="2" xfId="0" applyFont="1" applyFill="1" applyBorder="1" applyAlignment="1">
      <alignment horizontal="left" vertical="top" wrapText="1"/>
    </xf>
    <xf numFmtId="0" fontId="0" fillId="0" borderId="0" xfId="0" applyAlignment="1">
      <alignment horizontal="left" vertical="top"/>
    </xf>
    <xf numFmtId="0" fontId="234" fillId="0" borderId="0" xfId="0" applyFont="1" applyAlignment="1">
      <alignment wrapText="1"/>
    </xf>
    <xf numFmtId="0" fontId="233" fillId="0" borderId="0" xfId="0" applyFont="1"/>
    <xf numFmtId="0" fontId="229" fillId="90" borderId="2" xfId="0" applyFont="1" applyFill="1" applyBorder="1" applyAlignment="1">
      <alignment horizontal="left" vertical="top" wrapText="1"/>
    </xf>
    <xf numFmtId="0" fontId="3" fillId="0" borderId="2" xfId="0" applyFont="1" applyBorder="1" applyAlignment="1">
      <alignment vertical="center" wrapText="1"/>
    </xf>
    <xf numFmtId="0" fontId="17" fillId="0" borderId="0" xfId="0" applyFont="1"/>
    <xf numFmtId="0" fontId="0" fillId="0" borderId="15" xfId="0" applyBorder="1"/>
    <xf numFmtId="0" fontId="0" fillId="89" borderId="2" xfId="0" applyFill="1" applyBorder="1" applyAlignment="1">
      <alignment horizontal="left" vertical="top" wrapText="1"/>
    </xf>
    <xf numFmtId="0" fontId="0" fillId="0" borderId="2" xfId="0" applyBorder="1" applyAlignment="1">
      <alignment wrapText="1"/>
    </xf>
    <xf numFmtId="0" fontId="3" fillId="0" borderId="2" xfId="0" applyFont="1" applyBorder="1" applyAlignment="1">
      <alignment horizontal="left" wrapText="1"/>
    </xf>
    <xf numFmtId="0" fontId="3" fillId="91" borderId="2" xfId="0" applyFont="1" applyFill="1" applyBorder="1" applyAlignment="1">
      <alignment horizontal="left"/>
    </xf>
    <xf numFmtId="0" fontId="0" fillId="91" borderId="2" xfId="0" applyFill="1" applyBorder="1"/>
    <xf numFmtId="0" fontId="3" fillId="0" borderId="4" xfId="0" applyFont="1" applyBorder="1" applyAlignment="1">
      <alignment horizontal="center" vertical="center" wrapText="1"/>
    </xf>
    <xf numFmtId="0" fontId="3" fillId="0" borderId="69" xfId="0" applyFont="1" applyBorder="1" applyAlignment="1">
      <alignment horizontal="center" vertical="center"/>
    </xf>
    <xf numFmtId="0" fontId="231" fillId="0" borderId="0" xfId="0" applyFont="1" applyAlignment="1">
      <alignment horizontal="left" vertical="top" wrapText="1"/>
    </xf>
    <xf numFmtId="0" fontId="229" fillId="86" borderId="4" xfId="0" applyFont="1" applyFill="1" applyBorder="1" applyAlignment="1">
      <alignment horizontal="center" vertical="center" wrapText="1"/>
    </xf>
    <xf numFmtId="0" fontId="229" fillId="86" borderId="5" xfId="0" applyFont="1" applyFill="1" applyBorder="1" applyAlignment="1">
      <alignment horizontal="center" vertical="center" wrapText="1"/>
    </xf>
    <xf numFmtId="0" fontId="229" fillId="86" borderId="69" xfId="0" applyFont="1" applyFill="1" applyBorder="1" applyAlignment="1">
      <alignment horizontal="center" vertical="center" wrapText="1"/>
    </xf>
    <xf numFmtId="0" fontId="229" fillId="84" borderId="4" xfId="0" applyFont="1" applyFill="1" applyBorder="1" applyAlignment="1">
      <alignment horizontal="center" vertical="center" wrapText="1"/>
    </xf>
    <xf numFmtId="0" fontId="229" fillId="84" borderId="69" xfId="0" applyFont="1" applyFill="1" applyBorder="1" applyAlignment="1">
      <alignment horizontal="center" vertical="center" wrapText="1"/>
    </xf>
    <xf numFmtId="0" fontId="229" fillId="85" borderId="4" xfId="0" applyFont="1" applyFill="1" applyBorder="1" applyAlignment="1">
      <alignment horizontal="center" vertical="center" wrapText="1"/>
    </xf>
    <xf numFmtId="0" fontId="229" fillId="85" borderId="5" xfId="0" applyFont="1" applyFill="1" applyBorder="1" applyAlignment="1">
      <alignment horizontal="center" vertical="center" wrapText="1"/>
    </xf>
    <xf numFmtId="0" fontId="229" fillId="85" borderId="69" xfId="0" applyFont="1" applyFill="1" applyBorder="1" applyAlignment="1">
      <alignment horizontal="center" vertical="center" wrapText="1"/>
    </xf>
    <xf numFmtId="0" fontId="230" fillId="90" borderId="54" xfId="0" applyFont="1" applyFill="1" applyBorder="1" applyAlignment="1">
      <alignment horizontal="center" vertical="top" wrapText="1"/>
    </xf>
    <xf numFmtId="0" fontId="230" fillId="90" borderId="0" xfId="0" applyFont="1" applyFill="1" applyAlignment="1">
      <alignment horizontal="center" vertical="top" wrapText="1"/>
    </xf>
  </cellXfs>
  <cellStyles count="3954">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3" xfId="1629" xr:uid="{00000000-0005-0000-0000-00002D060000}"/>
    <cellStyle name="10Q 2 3 2" xfId="1630" xr:uid="{00000000-0005-0000-0000-00002E060000}"/>
    <cellStyle name="10Q 2 4" xfId="1631" xr:uid="{00000000-0005-0000-0000-00002F060000}"/>
    <cellStyle name="10Q 3" xfId="1632" xr:uid="{00000000-0005-0000-0000-000030060000}"/>
    <cellStyle name="10Q 3 2" xfId="1633" xr:uid="{00000000-0005-0000-0000-000031060000}"/>
    <cellStyle name="10Q 4" xfId="1634" xr:uid="{00000000-0005-0000-0000-000032060000}"/>
    <cellStyle name="10Q 4 2" xfId="1635" xr:uid="{00000000-0005-0000-0000-000033060000}"/>
    <cellStyle name="10Q 5" xfId="1636" xr:uid="{00000000-0005-0000-0000-000034060000}"/>
    <cellStyle name="10Q 5 2" xfId="1637" xr:uid="{00000000-0005-0000-0000-000035060000}"/>
    <cellStyle name="10Q 6" xfId="1638" xr:uid="{00000000-0005-0000-0000-000036060000}"/>
    <cellStyle name="10Q 6 2" xfId="1639" xr:uid="{00000000-0005-0000-0000-000037060000}"/>
    <cellStyle name="10Q 7" xfId="1640" xr:uid="{00000000-0005-0000-0000-000038060000}"/>
    <cellStyle name="10Q 7 2" xfId="1641" xr:uid="{00000000-0005-0000-0000-000039060000}"/>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3" xfId="1735" xr:uid="{00000000-0005-0000-0000-0000A9060000}"/>
    <cellStyle name="ac 2 3 2" xfId="1736" xr:uid="{00000000-0005-0000-0000-0000AA060000}"/>
    <cellStyle name="ac 2 4" xfId="1737" xr:uid="{00000000-0005-0000-0000-0000AB060000}"/>
    <cellStyle name="ac 3" xfId="1738" xr:uid="{00000000-0005-0000-0000-0000AC060000}"/>
    <cellStyle name="ac 3 2" xfId="1739" xr:uid="{00000000-0005-0000-0000-0000AD060000}"/>
    <cellStyle name="ac 3 2 2" xfId="1740" xr:uid="{00000000-0005-0000-0000-0000AE060000}"/>
    <cellStyle name="ac 3 3" xfId="1741" xr:uid="{00000000-0005-0000-0000-0000AF060000}"/>
    <cellStyle name="ac 3 3 2" xfId="1742" xr:uid="{00000000-0005-0000-0000-0000B0060000}"/>
    <cellStyle name="ac 3 4" xfId="1743" xr:uid="{00000000-0005-0000-0000-0000B1060000}"/>
    <cellStyle name="ac 4" xfId="1744" xr:uid="{00000000-0005-0000-0000-0000B2060000}"/>
    <cellStyle name="ac 4 2" xfId="1745" xr:uid="{00000000-0005-0000-0000-0000B3060000}"/>
    <cellStyle name="ac 5" xfId="1746" xr:uid="{00000000-0005-0000-0000-0000B4060000}"/>
    <cellStyle name="ac 5 2" xfId="1747" xr:uid="{00000000-0005-0000-0000-0000B5060000}"/>
    <cellStyle name="ac 6" xfId="1748" xr:uid="{00000000-0005-0000-0000-0000B6060000}"/>
    <cellStyle name="ac 6 2" xfId="1749" xr:uid="{00000000-0005-0000-0000-0000B7060000}"/>
    <cellStyle name="ac 7" xfId="1750" xr:uid="{00000000-0005-0000-0000-0000B8060000}"/>
    <cellStyle name="ac 7 2" xfId="1751" xr:uid="{00000000-0005-0000-0000-0000B9060000}"/>
    <cellStyle name="ac 8" xfId="1752" xr:uid="{00000000-0005-0000-0000-0000BA060000}"/>
    <cellStyle name="ac 8 2" xfId="1753" xr:uid="{00000000-0005-0000-0000-0000BB060000}"/>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3" xfId="1761" xr:uid="{00000000-0005-0000-0000-0000C9060000}"/>
    <cellStyle name="accounting 2 2 3 2" xfId="1762" xr:uid="{00000000-0005-0000-0000-0000CA060000}"/>
    <cellStyle name="accounting 2 2 4" xfId="1763" xr:uid="{00000000-0005-0000-0000-0000CB060000}"/>
    <cellStyle name="accounting 2 3" xfId="1764" xr:uid="{00000000-0005-0000-0000-0000CC060000}"/>
    <cellStyle name="accounting 2 3 2" xfId="1765" xr:uid="{00000000-0005-0000-0000-0000CD060000}"/>
    <cellStyle name="accounting 2 3 2 2" xfId="1766" xr:uid="{00000000-0005-0000-0000-0000CE060000}"/>
    <cellStyle name="accounting 2 3 3" xfId="1767" xr:uid="{00000000-0005-0000-0000-0000CF060000}"/>
    <cellStyle name="accounting 2 3 3 2" xfId="1768" xr:uid="{00000000-0005-0000-0000-0000D0060000}"/>
    <cellStyle name="accounting 2 3 4" xfId="1769" xr:uid="{00000000-0005-0000-0000-0000D1060000}"/>
    <cellStyle name="accounting 2 4" xfId="1770" xr:uid="{00000000-0005-0000-0000-0000D2060000}"/>
    <cellStyle name="accounting 2 4 2" xfId="1771" xr:uid="{00000000-0005-0000-0000-0000D3060000}"/>
    <cellStyle name="accounting 2 5" xfId="1772" xr:uid="{00000000-0005-0000-0000-0000D4060000}"/>
    <cellStyle name="accounting 2 5 2" xfId="1773" xr:uid="{00000000-0005-0000-0000-0000D5060000}"/>
    <cellStyle name="accounting 2 6" xfId="1774" xr:uid="{00000000-0005-0000-0000-0000D6060000}"/>
    <cellStyle name="accounting 2 6 2" xfId="1775" xr:uid="{00000000-0005-0000-0000-0000D7060000}"/>
    <cellStyle name="accounting 2 7" xfId="1776" xr:uid="{00000000-0005-0000-0000-0000D8060000}"/>
    <cellStyle name="accounting 2 7 2" xfId="1777" xr:uid="{00000000-0005-0000-0000-0000D9060000}"/>
    <cellStyle name="accounting 2 8" xfId="1778" xr:uid="{00000000-0005-0000-0000-0000DA060000}"/>
    <cellStyle name="accounting 2 8 2" xfId="1779" xr:uid="{00000000-0005-0000-0000-0000DB060000}"/>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3" xfId="1784" xr:uid="{00000000-0005-0000-0000-0000E0060000}"/>
    <cellStyle name="accounting 3 2 3 2" xfId="1785" xr:uid="{00000000-0005-0000-0000-0000E1060000}"/>
    <cellStyle name="accounting 3 2 4" xfId="1786" xr:uid="{00000000-0005-0000-0000-0000E2060000}"/>
    <cellStyle name="accounting 3 3" xfId="1787" xr:uid="{00000000-0005-0000-0000-0000E3060000}"/>
    <cellStyle name="accounting 3 3 2" xfId="1788" xr:uid="{00000000-0005-0000-0000-0000E4060000}"/>
    <cellStyle name="accounting 3 3 2 2" xfId="1789" xr:uid="{00000000-0005-0000-0000-0000E5060000}"/>
    <cellStyle name="accounting 3 3 3" xfId="1790" xr:uid="{00000000-0005-0000-0000-0000E6060000}"/>
    <cellStyle name="accounting 3 3 3 2" xfId="1791" xr:uid="{00000000-0005-0000-0000-0000E7060000}"/>
    <cellStyle name="accounting 3 3 4" xfId="1792" xr:uid="{00000000-0005-0000-0000-0000E8060000}"/>
    <cellStyle name="accounting 3 4" xfId="1793" xr:uid="{00000000-0005-0000-0000-0000E9060000}"/>
    <cellStyle name="accounting 3 4 2" xfId="1794" xr:uid="{00000000-0005-0000-0000-0000EA060000}"/>
    <cellStyle name="accounting 3 5" xfId="1795" xr:uid="{00000000-0005-0000-0000-0000EB060000}"/>
    <cellStyle name="accounting 3 5 2" xfId="1796" xr:uid="{00000000-0005-0000-0000-0000EC060000}"/>
    <cellStyle name="accounting 3 6" xfId="1797" xr:uid="{00000000-0005-0000-0000-0000ED060000}"/>
    <cellStyle name="accounting 3 6 2" xfId="1798" xr:uid="{00000000-0005-0000-0000-0000EE060000}"/>
    <cellStyle name="accounting 3 7" xfId="1799" xr:uid="{00000000-0005-0000-0000-0000EF060000}"/>
    <cellStyle name="accounting 3 7 2" xfId="1800" xr:uid="{00000000-0005-0000-0000-0000F0060000}"/>
    <cellStyle name="accounting 3 8" xfId="1801" xr:uid="{00000000-0005-0000-0000-0000F1060000}"/>
    <cellStyle name="accounting 3 8 2" xfId="1802" xr:uid="{00000000-0005-0000-0000-0000F2060000}"/>
    <cellStyle name="accounting 4" xfId="1803" xr:uid="{00000000-0005-0000-0000-0000F3060000}"/>
    <cellStyle name="accounting 4 2" xfId="1804" xr:uid="{00000000-0005-0000-0000-0000F4060000}"/>
    <cellStyle name="accounting 4 2 2" xfId="1805" xr:uid="{00000000-0005-0000-0000-0000F5060000}"/>
    <cellStyle name="accounting 4 3" xfId="1806" xr:uid="{00000000-0005-0000-0000-0000F6060000}"/>
    <cellStyle name="accounting 4 3 2" xfId="1807" xr:uid="{00000000-0005-0000-0000-0000F7060000}"/>
    <cellStyle name="accounting 4 4" xfId="1808" xr:uid="{00000000-0005-0000-0000-0000F8060000}"/>
    <cellStyle name="accounting 5" xfId="1809" xr:uid="{00000000-0005-0000-0000-0000F9060000}"/>
    <cellStyle name="accounting 5 2" xfId="1810" xr:uid="{00000000-0005-0000-0000-0000FA060000}"/>
    <cellStyle name="accounting 5 2 2" xfId="1811" xr:uid="{00000000-0005-0000-0000-0000FB060000}"/>
    <cellStyle name="accounting 5 3" xfId="1812" xr:uid="{00000000-0005-0000-0000-0000FC060000}"/>
    <cellStyle name="accounting 5 3 2" xfId="1813" xr:uid="{00000000-0005-0000-0000-0000FD060000}"/>
    <cellStyle name="accounting 5 4" xfId="1814" xr:uid="{00000000-0005-0000-0000-0000FE060000}"/>
    <cellStyle name="accounting 6" xfId="1815" xr:uid="{00000000-0005-0000-0000-0000FF060000}"/>
    <cellStyle name="accounting 6 2" xfId="1816" xr:uid="{00000000-0005-0000-0000-000000070000}"/>
    <cellStyle name="accounting 7" xfId="1817" xr:uid="{00000000-0005-0000-0000-000001070000}"/>
    <cellStyle name="accounting 7 2" xfId="1818" xr:uid="{00000000-0005-0000-0000-000002070000}"/>
    <cellStyle name="accounting 8" xfId="1819" xr:uid="{00000000-0005-0000-0000-000003070000}"/>
    <cellStyle name="accounting 8 2" xfId="1820" xr:uid="{00000000-0005-0000-0000-000004070000}"/>
    <cellStyle name="accounting 9" xfId="1821" xr:uid="{00000000-0005-0000-0000-000005070000}"/>
    <cellStyle name="accounting 9 2" xfId="1822" xr:uid="{00000000-0005-0000-0000-000006070000}"/>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3" xfId="1901" xr:uid="{00000000-0005-0000-0000-000056070000}"/>
    <cellStyle name="Blue bold 2 2 3 2" xfId="1902" xr:uid="{00000000-0005-0000-0000-000057070000}"/>
    <cellStyle name="Blue bold 2 2 4" xfId="1903" xr:uid="{00000000-0005-0000-0000-000058070000}"/>
    <cellStyle name="Blue bold 2 3" xfId="1904" xr:uid="{00000000-0005-0000-0000-000059070000}"/>
    <cellStyle name="Blue bold 2 3 2" xfId="1905" xr:uid="{00000000-0005-0000-0000-00005A070000}"/>
    <cellStyle name="Blue bold 2 4" xfId="1906" xr:uid="{00000000-0005-0000-0000-00005B070000}"/>
    <cellStyle name="Blue bold 2 4 2" xfId="1907" xr:uid="{00000000-0005-0000-0000-00005C070000}"/>
    <cellStyle name="Blue bold 2 5" xfId="1908" xr:uid="{00000000-0005-0000-0000-00005D070000}"/>
    <cellStyle name="Blue bold 2 5 2" xfId="1909" xr:uid="{00000000-0005-0000-0000-00005E070000}"/>
    <cellStyle name="Blue bold 2 6" xfId="1910" xr:uid="{00000000-0005-0000-0000-00005F070000}"/>
    <cellStyle name="Blue bold 2 6 2" xfId="1911" xr:uid="{00000000-0005-0000-0000-000060070000}"/>
    <cellStyle name="Blue bold 2 7" xfId="1912" xr:uid="{00000000-0005-0000-0000-000061070000}"/>
    <cellStyle name="Blue bold 2 7 2" xfId="1913" xr:uid="{00000000-0005-0000-0000-000062070000}"/>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3" xfId="1918" xr:uid="{00000000-0005-0000-0000-000067070000}"/>
    <cellStyle name="Blue bold 3 2 3 2" xfId="1919" xr:uid="{00000000-0005-0000-0000-000068070000}"/>
    <cellStyle name="Blue bold 3 2 4" xfId="1920" xr:uid="{00000000-0005-0000-0000-000069070000}"/>
    <cellStyle name="Blue bold 3 3" xfId="1921" xr:uid="{00000000-0005-0000-0000-00006A070000}"/>
    <cellStyle name="Blue bold 3 3 2" xfId="1922" xr:uid="{00000000-0005-0000-0000-00006B070000}"/>
    <cellStyle name="Blue bold 3 4" xfId="1923" xr:uid="{00000000-0005-0000-0000-00006C070000}"/>
    <cellStyle name="Blue bold 3 4 2" xfId="1924" xr:uid="{00000000-0005-0000-0000-00006D070000}"/>
    <cellStyle name="Blue bold 3 5" xfId="1925" xr:uid="{00000000-0005-0000-0000-00006E070000}"/>
    <cellStyle name="Blue bold 3 5 2" xfId="1926" xr:uid="{00000000-0005-0000-0000-00006F070000}"/>
    <cellStyle name="Blue bold 3 6" xfId="1927" xr:uid="{00000000-0005-0000-0000-000070070000}"/>
    <cellStyle name="Blue bold 3 6 2" xfId="1928" xr:uid="{00000000-0005-0000-0000-000071070000}"/>
    <cellStyle name="Blue bold 3 7" xfId="1929" xr:uid="{00000000-0005-0000-0000-000072070000}"/>
    <cellStyle name="Blue bold 3 7 2" xfId="1930" xr:uid="{00000000-0005-0000-0000-000073070000}"/>
    <cellStyle name="Blue bold 4" xfId="1931" xr:uid="{00000000-0005-0000-0000-000074070000}"/>
    <cellStyle name="Blue bold 4 2" xfId="1932" xr:uid="{00000000-0005-0000-0000-000075070000}"/>
    <cellStyle name="Blue bold 4 2 2" xfId="1933" xr:uid="{00000000-0005-0000-0000-000076070000}"/>
    <cellStyle name="Blue bold 4 3" xfId="1934" xr:uid="{00000000-0005-0000-0000-000077070000}"/>
    <cellStyle name="Blue bold 4 3 2" xfId="1935" xr:uid="{00000000-0005-0000-0000-000078070000}"/>
    <cellStyle name="Blue bold 4 4" xfId="1936" xr:uid="{00000000-0005-0000-0000-000079070000}"/>
    <cellStyle name="Blue bold 5" xfId="1937" xr:uid="{00000000-0005-0000-0000-00007A070000}"/>
    <cellStyle name="Blue bold 5 2" xfId="1938" xr:uid="{00000000-0005-0000-0000-00007B070000}"/>
    <cellStyle name="Blue bold 6" xfId="1939" xr:uid="{00000000-0005-0000-0000-00007C070000}"/>
    <cellStyle name="Blue bold 6 2" xfId="1940" xr:uid="{00000000-0005-0000-0000-00007D070000}"/>
    <cellStyle name="Blue bold 7" xfId="1941" xr:uid="{00000000-0005-0000-0000-00007E070000}"/>
    <cellStyle name="Blue bold 7 2" xfId="1942" xr:uid="{00000000-0005-0000-0000-00007F070000}"/>
    <cellStyle name="Blue bold 8" xfId="1943" xr:uid="{00000000-0005-0000-0000-000080070000}"/>
    <cellStyle name="Blue bold 8 2" xfId="1944" xr:uid="{00000000-0005-0000-0000-000081070000}"/>
    <cellStyle name="Blue bold 9" xfId="1945" xr:uid="{00000000-0005-0000-0000-000082070000}"/>
    <cellStyle name="Blue bold 9 2" xfId="1946" xr:uid="{00000000-0005-0000-0000-000083070000}"/>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3" xfId="1954" xr:uid="{00000000-0005-0000-0000-00008B070000}"/>
    <cellStyle name="Bold/Border 2 3 2" xfId="1955" xr:uid="{00000000-0005-0000-0000-00008C070000}"/>
    <cellStyle name="Bold/Border 2 4" xfId="1956" xr:uid="{00000000-0005-0000-0000-00008D070000}"/>
    <cellStyle name="Bold/Border 3" xfId="1957" xr:uid="{00000000-0005-0000-0000-00008E070000}"/>
    <cellStyle name="Bold/Border 3 2" xfId="1958" xr:uid="{00000000-0005-0000-0000-00008F070000}"/>
    <cellStyle name="Bold/Border 3 2 2" xfId="1959" xr:uid="{00000000-0005-0000-0000-000090070000}"/>
    <cellStyle name="Bold/Border 3 3" xfId="1960" xr:uid="{00000000-0005-0000-0000-000091070000}"/>
    <cellStyle name="Bold/Border 3 3 2" xfId="1961" xr:uid="{00000000-0005-0000-0000-000092070000}"/>
    <cellStyle name="Bold/Border 3 4" xfId="1962" xr:uid="{00000000-0005-0000-0000-000093070000}"/>
    <cellStyle name="Bold/Border 4" xfId="1963" xr:uid="{00000000-0005-0000-0000-000094070000}"/>
    <cellStyle name="Bold/Border 4 2" xfId="1964" xr:uid="{00000000-0005-0000-0000-000095070000}"/>
    <cellStyle name="Bold/Border 5" xfId="1965" xr:uid="{00000000-0005-0000-0000-000096070000}"/>
    <cellStyle name="Bold/Border 5 2" xfId="1966" xr:uid="{00000000-0005-0000-0000-000097070000}"/>
    <cellStyle name="Bold/Border 6" xfId="1967" xr:uid="{00000000-0005-0000-0000-000098070000}"/>
    <cellStyle name="Bold/Border 6 2" xfId="1968" xr:uid="{00000000-0005-0000-0000-000099070000}"/>
    <cellStyle name="Bold/Border 7" xfId="1969" xr:uid="{00000000-0005-0000-0000-00009A070000}"/>
    <cellStyle name="Bold/Border 7 2" xfId="1970" xr:uid="{00000000-0005-0000-0000-00009B070000}"/>
    <cellStyle name="Bold/Border 8" xfId="1971" xr:uid="{00000000-0005-0000-0000-00009C070000}"/>
    <cellStyle name="Bold/Border 8 2" xfId="1972" xr:uid="{00000000-0005-0000-0000-00009D070000}"/>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1" xfId="1988" xr:uid="{00000000-0005-0000-0000-0000AD070000}"/>
    <cellStyle name="Border 11 2" xfId="1989" xr:uid="{00000000-0005-0000-0000-0000AE070000}"/>
    <cellStyle name="Border 12" xfId="1990" xr:uid="{00000000-0005-0000-0000-0000AF070000}"/>
    <cellStyle name="Border 12 2" xfId="1991" xr:uid="{00000000-0005-0000-0000-0000B0070000}"/>
    <cellStyle name="Border 13" xfId="1992" xr:uid="{00000000-0005-0000-0000-0000B1070000}"/>
    <cellStyle name="Border 13 2" xfId="1993" xr:uid="{00000000-0005-0000-0000-0000B2070000}"/>
    <cellStyle name="Border 14" xfId="1994" xr:uid="{00000000-0005-0000-0000-0000B3070000}"/>
    <cellStyle name="Border 14 2" xfId="1995" xr:uid="{00000000-0005-0000-0000-0000B4070000}"/>
    <cellStyle name="Border 15" xfId="1996" xr:uid="{00000000-0005-0000-0000-0000B5070000}"/>
    <cellStyle name="Border 15 2" xfId="1997" xr:uid="{00000000-0005-0000-0000-0000B6070000}"/>
    <cellStyle name="Border 16" xfId="1998" xr:uid="{00000000-0005-0000-0000-0000B7070000}"/>
    <cellStyle name="Border 16 2" xfId="1999" xr:uid="{00000000-0005-0000-0000-0000B8070000}"/>
    <cellStyle name="Border 17" xfId="2000" xr:uid="{00000000-0005-0000-0000-0000B9070000}"/>
    <cellStyle name="Border 17 2" xfId="2001" xr:uid="{00000000-0005-0000-0000-0000BA070000}"/>
    <cellStyle name="Border 18" xfId="2002" xr:uid="{00000000-0005-0000-0000-0000BB070000}"/>
    <cellStyle name="Border 18 2" xfId="2003" xr:uid="{00000000-0005-0000-0000-0000BC070000}"/>
    <cellStyle name="Border 19" xfId="2004" xr:uid="{00000000-0005-0000-0000-0000BD070000}"/>
    <cellStyle name="Border 19 2" xfId="2005" xr:uid="{00000000-0005-0000-0000-0000BE070000}"/>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3" xfId="2010" xr:uid="{00000000-0005-0000-0000-0000C3070000}"/>
    <cellStyle name="Border 2 2 3 2" xfId="2011" xr:uid="{00000000-0005-0000-0000-0000C4070000}"/>
    <cellStyle name="Border 2 2 4" xfId="2012" xr:uid="{00000000-0005-0000-0000-0000C5070000}"/>
    <cellStyle name="Border 2 3" xfId="2013" xr:uid="{00000000-0005-0000-0000-0000C6070000}"/>
    <cellStyle name="Border 2 3 2" xfId="2014" xr:uid="{00000000-0005-0000-0000-0000C7070000}"/>
    <cellStyle name="Border 2 4" xfId="2015" xr:uid="{00000000-0005-0000-0000-0000C8070000}"/>
    <cellStyle name="Border 2 4 2" xfId="2016" xr:uid="{00000000-0005-0000-0000-0000C9070000}"/>
    <cellStyle name="Border 2 5" xfId="2017" xr:uid="{00000000-0005-0000-0000-0000CA070000}"/>
    <cellStyle name="Border 2 5 2" xfId="2018" xr:uid="{00000000-0005-0000-0000-0000CB070000}"/>
    <cellStyle name="Border 2 6" xfId="2019" xr:uid="{00000000-0005-0000-0000-0000CC070000}"/>
    <cellStyle name="Border 2 6 2" xfId="2020" xr:uid="{00000000-0005-0000-0000-0000CD070000}"/>
    <cellStyle name="Border 2 7" xfId="2021" xr:uid="{00000000-0005-0000-0000-0000CE070000}"/>
    <cellStyle name="Border 2 7 2" xfId="2022" xr:uid="{00000000-0005-0000-0000-0000CF070000}"/>
    <cellStyle name="Border 20" xfId="2023" xr:uid="{00000000-0005-0000-0000-0000D0070000}"/>
    <cellStyle name="Border 20 2" xfId="2024" xr:uid="{00000000-0005-0000-0000-0000D1070000}"/>
    <cellStyle name="Border 21" xfId="2025" xr:uid="{00000000-0005-0000-0000-0000D2070000}"/>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3" xfId="2030" xr:uid="{00000000-0005-0000-0000-0000D7070000}"/>
    <cellStyle name="Border 3 2 3 2" xfId="2031" xr:uid="{00000000-0005-0000-0000-0000D8070000}"/>
    <cellStyle name="Border 3 2 4" xfId="2032" xr:uid="{00000000-0005-0000-0000-0000D9070000}"/>
    <cellStyle name="Border 3 3" xfId="2033" xr:uid="{00000000-0005-0000-0000-0000DA070000}"/>
    <cellStyle name="Border 3 3 2" xfId="2034" xr:uid="{00000000-0005-0000-0000-0000DB070000}"/>
    <cellStyle name="Border 3 4" xfId="2035" xr:uid="{00000000-0005-0000-0000-0000DC070000}"/>
    <cellStyle name="Border 3 4 2" xfId="2036" xr:uid="{00000000-0005-0000-0000-0000DD070000}"/>
    <cellStyle name="Border 3 5" xfId="2037" xr:uid="{00000000-0005-0000-0000-0000DE070000}"/>
    <cellStyle name="Border 3 5 2" xfId="2038" xr:uid="{00000000-0005-0000-0000-0000DF070000}"/>
    <cellStyle name="Border 3 6" xfId="2039" xr:uid="{00000000-0005-0000-0000-0000E0070000}"/>
    <cellStyle name="Border 3 6 2" xfId="2040" xr:uid="{00000000-0005-0000-0000-0000E1070000}"/>
    <cellStyle name="Border 3 7" xfId="2041" xr:uid="{00000000-0005-0000-0000-0000E2070000}"/>
    <cellStyle name="Border 3 7 2" xfId="2042" xr:uid="{00000000-0005-0000-0000-0000E3070000}"/>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3" xfId="2047" xr:uid="{00000000-0005-0000-0000-0000E8070000}"/>
    <cellStyle name="Border 4 2 3 2" xfId="2048" xr:uid="{00000000-0005-0000-0000-0000E9070000}"/>
    <cellStyle name="Border 4 2 4" xfId="2049" xr:uid="{00000000-0005-0000-0000-0000EA070000}"/>
    <cellStyle name="Border 4 3" xfId="2050" xr:uid="{00000000-0005-0000-0000-0000EB070000}"/>
    <cellStyle name="Border 4 3 2" xfId="2051" xr:uid="{00000000-0005-0000-0000-0000EC070000}"/>
    <cellStyle name="Border 4 4" xfId="2052" xr:uid="{00000000-0005-0000-0000-0000ED070000}"/>
    <cellStyle name="Border 4 4 2" xfId="2053" xr:uid="{00000000-0005-0000-0000-0000EE070000}"/>
    <cellStyle name="Border 4 5" xfId="2054" xr:uid="{00000000-0005-0000-0000-0000EF070000}"/>
    <cellStyle name="Border 4 5 2" xfId="2055" xr:uid="{00000000-0005-0000-0000-0000F0070000}"/>
    <cellStyle name="Border 4 6" xfId="2056" xr:uid="{00000000-0005-0000-0000-0000F1070000}"/>
    <cellStyle name="Border 4 6 2" xfId="2057" xr:uid="{00000000-0005-0000-0000-0000F2070000}"/>
    <cellStyle name="Border 4 7" xfId="2058" xr:uid="{00000000-0005-0000-0000-0000F3070000}"/>
    <cellStyle name="Border 4 7 2" xfId="2059" xr:uid="{00000000-0005-0000-0000-0000F4070000}"/>
    <cellStyle name="Border 5" xfId="2060" xr:uid="{00000000-0005-0000-0000-0000F5070000}"/>
    <cellStyle name="Border 5 2" xfId="2061" xr:uid="{00000000-0005-0000-0000-0000F6070000}"/>
    <cellStyle name="Border 5 2 2" xfId="2062" xr:uid="{00000000-0005-0000-0000-0000F7070000}"/>
    <cellStyle name="Border 5 3" xfId="2063" xr:uid="{00000000-0005-0000-0000-0000F8070000}"/>
    <cellStyle name="Border 5 3 2" xfId="2064" xr:uid="{00000000-0005-0000-0000-0000F9070000}"/>
    <cellStyle name="Border 5 4" xfId="2065" xr:uid="{00000000-0005-0000-0000-0000FA070000}"/>
    <cellStyle name="Border 6" xfId="2066" xr:uid="{00000000-0005-0000-0000-0000FB070000}"/>
    <cellStyle name="Border 6 2" xfId="2067" xr:uid="{00000000-0005-0000-0000-0000FC070000}"/>
    <cellStyle name="Border 7" xfId="2068" xr:uid="{00000000-0005-0000-0000-0000FD070000}"/>
    <cellStyle name="Border 7 2" xfId="2069" xr:uid="{00000000-0005-0000-0000-0000FE070000}"/>
    <cellStyle name="Border 8" xfId="2070" xr:uid="{00000000-0005-0000-0000-0000FF070000}"/>
    <cellStyle name="Border 8 2" xfId="2071" xr:uid="{00000000-0005-0000-0000-000000080000}"/>
    <cellStyle name="Border 9" xfId="2072" xr:uid="{00000000-0005-0000-0000-000001080000}"/>
    <cellStyle name="Border 9 2" xfId="2073" xr:uid="{00000000-0005-0000-0000-000002080000}"/>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3" xfId="2292" xr:uid="{00000000-0005-0000-0000-0000DF080000}"/>
    <cellStyle name="COL HEADINGS 2 3 2" xfId="2293" xr:uid="{00000000-0005-0000-0000-0000E0080000}"/>
    <cellStyle name="COL HEADINGS 2 4" xfId="2294" xr:uid="{00000000-0005-0000-0000-0000E1080000}"/>
    <cellStyle name="COL HEADINGS 3" xfId="2295" xr:uid="{00000000-0005-0000-0000-0000E2080000}"/>
    <cellStyle name="COL HEADINGS 3 2" xfId="2296" xr:uid="{00000000-0005-0000-0000-0000E3080000}"/>
    <cellStyle name="COL HEADINGS 4" xfId="2297" xr:uid="{00000000-0005-0000-0000-0000E4080000}"/>
    <cellStyle name="COL HEADINGS 4 2" xfId="2298" xr:uid="{00000000-0005-0000-0000-0000E5080000}"/>
    <cellStyle name="COL HEADINGS 5" xfId="2299" xr:uid="{00000000-0005-0000-0000-0000E6080000}"/>
    <cellStyle name="COL HEADINGS 5 2" xfId="2300" xr:uid="{00000000-0005-0000-0000-0000E7080000}"/>
    <cellStyle name="COL HEADINGS 6" xfId="2301" xr:uid="{00000000-0005-0000-0000-0000E8080000}"/>
    <cellStyle name="COL HEADINGS 6 2" xfId="2302" xr:uid="{00000000-0005-0000-0000-0000E9080000}"/>
    <cellStyle name="COL HEADINGS 7" xfId="2303" xr:uid="{00000000-0005-0000-0000-0000EA080000}"/>
    <cellStyle name="COL HEADINGS 7 2" xfId="2304" xr:uid="{00000000-0005-0000-0000-0000EB080000}"/>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3" xfId="2667" xr:uid="{00000000-0005-0000-0000-0000560A0000}"/>
    <cellStyle name="Date [mmm-yyyy] 2 3 2" xfId="2668" xr:uid="{00000000-0005-0000-0000-0000570A0000}"/>
    <cellStyle name="Date [mmm-yyyy] 2 4" xfId="2669" xr:uid="{00000000-0005-0000-0000-0000580A0000}"/>
    <cellStyle name="Date [mmm-yyyy] 3" xfId="2670" xr:uid="{00000000-0005-0000-0000-0000590A0000}"/>
    <cellStyle name="Date [mmm-yyyy] 3 2" xfId="2671" xr:uid="{00000000-0005-0000-0000-00005A0A0000}"/>
    <cellStyle name="Date [mmm-yyyy] 3 2 2" xfId="2672" xr:uid="{00000000-0005-0000-0000-00005B0A0000}"/>
    <cellStyle name="Date [mmm-yyyy] 3 3" xfId="2673" xr:uid="{00000000-0005-0000-0000-00005C0A0000}"/>
    <cellStyle name="Date [mmm-yyyy] 3 3 2" xfId="2674" xr:uid="{00000000-0005-0000-0000-00005D0A0000}"/>
    <cellStyle name="Date [mmm-yyyy] 3 4" xfId="2675" xr:uid="{00000000-0005-0000-0000-00005E0A0000}"/>
    <cellStyle name="Date [mmm-yyyy] 4" xfId="2676" xr:uid="{00000000-0005-0000-0000-00005F0A0000}"/>
    <cellStyle name="Date [mmm-yyyy] 4 2" xfId="2677" xr:uid="{00000000-0005-0000-0000-0000600A0000}"/>
    <cellStyle name="Date [mmm-yyyy] 5" xfId="2678" xr:uid="{00000000-0005-0000-0000-0000610A0000}"/>
    <cellStyle name="Date [mmm-yyyy] 5 2" xfId="2679" xr:uid="{00000000-0005-0000-0000-0000620A0000}"/>
    <cellStyle name="Date [mmm-yyyy] 6" xfId="2680" xr:uid="{00000000-0005-0000-0000-0000630A0000}"/>
    <cellStyle name="Date [mmm-yyyy] 6 2" xfId="2681" xr:uid="{00000000-0005-0000-0000-0000640A0000}"/>
    <cellStyle name="Date [mmm-yyyy] 7" xfId="2682" xr:uid="{00000000-0005-0000-0000-0000650A0000}"/>
    <cellStyle name="Date [mmm-yyyy] 7 2" xfId="2683" xr:uid="{00000000-0005-0000-0000-0000660A0000}"/>
    <cellStyle name="Date [mmm-yyyy] 8" xfId="2684" xr:uid="{00000000-0005-0000-0000-0000670A0000}"/>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3" xfId="2800" xr:uid="{00000000-0005-0000-0000-0000DE0A0000}"/>
    <cellStyle name="f 2 3 2" xfId="2801" xr:uid="{00000000-0005-0000-0000-0000DF0A0000}"/>
    <cellStyle name="f 2 4" xfId="2802" xr:uid="{00000000-0005-0000-0000-0000E00A0000}"/>
    <cellStyle name="f 3" xfId="2803" xr:uid="{00000000-0005-0000-0000-0000E10A0000}"/>
    <cellStyle name="f 3 2" xfId="2804" xr:uid="{00000000-0005-0000-0000-0000E20A0000}"/>
    <cellStyle name="f 3 2 2" xfId="2805" xr:uid="{00000000-0005-0000-0000-0000E30A0000}"/>
    <cellStyle name="f 3 3" xfId="2806" xr:uid="{00000000-0005-0000-0000-0000E40A0000}"/>
    <cellStyle name="f 3 3 2" xfId="2807" xr:uid="{00000000-0005-0000-0000-0000E50A0000}"/>
    <cellStyle name="f 3 4" xfId="2808" xr:uid="{00000000-0005-0000-0000-0000E60A0000}"/>
    <cellStyle name="f 4" xfId="2809" xr:uid="{00000000-0005-0000-0000-0000E70A0000}"/>
    <cellStyle name="f 4 2" xfId="2810" xr:uid="{00000000-0005-0000-0000-0000E80A0000}"/>
    <cellStyle name="f 5" xfId="2811" xr:uid="{00000000-0005-0000-0000-0000E90A0000}"/>
    <cellStyle name="f 5 2" xfId="2812" xr:uid="{00000000-0005-0000-0000-0000EA0A0000}"/>
    <cellStyle name="f 6" xfId="2813" xr:uid="{00000000-0005-0000-0000-0000EB0A0000}"/>
    <cellStyle name="f 6 2" xfId="2814" xr:uid="{00000000-0005-0000-0000-0000EC0A0000}"/>
    <cellStyle name="f 7" xfId="2815" xr:uid="{00000000-0005-0000-0000-0000ED0A0000}"/>
    <cellStyle name="f 7 2" xfId="2816" xr:uid="{00000000-0005-0000-0000-0000EE0A0000}"/>
    <cellStyle name="f 8" xfId="2817" xr:uid="{00000000-0005-0000-0000-0000EF0A0000}"/>
    <cellStyle name="f 8 2" xfId="2818" xr:uid="{00000000-0005-0000-0000-0000F00A0000}"/>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3" xfId="2909" xr:uid="{00000000-0005-0000-0000-0000500B0000}"/>
    <cellStyle name="Heading With Underline 2 3 2" xfId="2910" xr:uid="{00000000-0005-0000-0000-0000510B0000}"/>
    <cellStyle name="Heading With Underline 2 4" xfId="2911" xr:uid="{00000000-0005-0000-0000-0000520B0000}"/>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3" xfId="2915" xr:uid="{00000000-0005-0000-0000-0000560B0000}"/>
    <cellStyle name="Heading With Underline 3 3 2" xfId="2916" xr:uid="{00000000-0005-0000-0000-0000570B0000}"/>
    <cellStyle name="Heading With Underline 3 4" xfId="2917" xr:uid="{00000000-0005-0000-0000-0000580B0000}"/>
    <cellStyle name="Heading With Underline 4" xfId="2918" xr:uid="{00000000-0005-0000-0000-0000590B0000}"/>
    <cellStyle name="Heading With Underline 4 2" xfId="2919" xr:uid="{00000000-0005-0000-0000-00005A0B0000}"/>
    <cellStyle name="Heading With Underline 5" xfId="2920" xr:uid="{00000000-0005-0000-0000-00005B0B0000}"/>
    <cellStyle name="Heading With Underline 5 2" xfId="2921" xr:uid="{00000000-0005-0000-0000-00005C0B0000}"/>
    <cellStyle name="Heading With Underline 6" xfId="2922" xr:uid="{00000000-0005-0000-0000-00005D0B0000}"/>
    <cellStyle name="Heading With Underline 6 2" xfId="2923" xr:uid="{00000000-0005-0000-0000-00005E0B0000}"/>
    <cellStyle name="Heading With Underline 7" xfId="2924" xr:uid="{00000000-0005-0000-0000-00005F0B0000}"/>
    <cellStyle name="Heading With Underline 7 2" xfId="2925" xr:uid="{00000000-0005-0000-0000-0000600B0000}"/>
    <cellStyle name="Heading With Underline 8" xfId="2926" xr:uid="{00000000-0005-0000-0000-0000610B0000}"/>
    <cellStyle name="Heading With Underline 8 2" xfId="2927" xr:uid="{00000000-0005-0000-0000-0000620B0000}"/>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3" xfId="3095" xr:uid="{00000000-0005-0000-0000-00000C0C0000}"/>
    <cellStyle name="LineNum w/ Border 2 2 3 2" xfId="3096" xr:uid="{00000000-0005-0000-0000-00000D0C0000}"/>
    <cellStyle name="LineNum w/ Border 2 2 4" xfId="3097" xr:uid="{00000000-0005-0000-0000-00000E0C0000}"/>
    <cellStyle name="LineNum w/ Border 2 3" xfId="3098" xr:uid="{00000000-0005-0000-0000-00000F0C0000}"/>
    <cellStyle name="LineNum w/ Border 2 3 2" xfId="3099" xr:uid="{00000000-0005-0000-0000-0000100C0000}"/>
    <cellStyle name="LineNum w/ Border 2 4" xfId="3100" xr:uid="{00000000-0005-0000-0000-0000110C0000}"/>
    <cellStyle name="LineNum w/ Border 2 4 2" xfId="3101" xr:uid="{00000000-0005-0000-0000-0000120C0000}"/>
    <cellStyle name="LineNum w/ Border 2 5" xfId="3102" xr:uid="{00000000-0005-0000-0000-0000130C0000}"/>
    <cellStyle name="LineNum w/ Border 2 5 2" xfId="3103" xr:uid="{00000000-0005-0000-0000-0000140C0000}"/>
    <cellStyle name="LineNum w/ Border 2 6" xfId="3104" xr:uid="{00000000-0005-0000-0000-0000150C0000}"/>
    <cellStyle name="LineNum w/ Border 2 6 2" xfId="3105" xr:uid="{00000000-0005-0000-0000-0000160C0000}"/>
    <cellStyle name="LineNum w/ Border 2 7" xfId="3106" xr:uid="{00000000-0005-0000-0000-0000170C0000}"/>
    <cellStyle name="LineNum w/ Border 2 7 2" xfId="3107" xr:uid="{00000000-0005-0000-0000-0000180C0000}"/>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3" xfId="3112" xr:uid="{00000000-0005-0000-0000-00001D0C0000}"/>
    <cellStyle name="LineNum w/ Border 3 2 3 2" xfId="3113" xr:uid="{00000000-0005-0000-0000-00001E0C0000}"/>
    <cellStyle name="LineNum w/ Border 3 2 4" xfId="3114" xr:uid="{00000000-0005-0000-0000-00001F0C0000}"/>
    <cellStyle name="LineNum w/ Border 3 3" xfId="3115" xr:uid="{00000000-0005-0000-0000-0000200C0000}"/>
    <cellStyle name="LineNum w/ Border 3 3 2" xfId="3116" xr:uid="{00000000-0005-0000-0000-0000210C0000}"/>
    <cellStyle name="LineNum w/ Border 3 4" xfId="3117" xr:uid="{00000000-0005-0000-0000-0000220C0000}"/>
    <cellStyle name="LineNum w/ Border 3 4 2" xfId="3118" xr:uid="{00000000-0005-0000-0000-0000230C0000}"/>
    <cellStyle name="LineNum w/ Border 3 5" xfId="3119" xr:uid="{00000000-0005-0000-0000-0000240C0000}"/>
    <cellStyle name="LineNum w/ Border 3 5 2" xfId="3120" xr:uid="{00000000-0005-0000-0000-0000250C0000}"/>
    <cellStyle name="LineNum w/ Border 3 6" xfId="3121" xr:uid="{00000000-0005-0000-0000-0000260C0000}"/>
    <cellStyle name="LineNum w/ Border 3 6 2" xfId="3122" xr:uid="{00000000-0005-0000-0000-0000270C0000}"/>
    <cellStyle name="LineNum w/ Border 3 7" xfId="3123" xr:uid="{00000000-0005-0000-0000-0000280C0000}"/>
    <cellStyle name="LineNum w/ Border 3 7 2" xfId="3124" xr:uid="{00000000-0005-0000-0000-0000290C0000}"/>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3" xfId="3128" xr:uid="{00000000-0005-0000-0000-00002D0C0000}"/>
    <cellStyle name="LineNum w/ Border 4 3 2" xfId="3129" xr:uid="{00000000-0005-0000-0000-00002E0C0000}"/>
    <cellStyle name="LineNum w/ Border 4 4" xfId="3130" xr:uid="{00000000-0005-0000-0000-00002F0C0000}"/>
    <cellStyle name="LineNum w/ Border 5" xfId="3131" xr:uid="{00000000-0005-0000-0000-0000300C0000}"/>
    <cellStyle name="LineNum w/ Border 5 2" xfId="3132" xr:uid="{00000000-0005-0000-0000-0000310C0000}"/>
    <cellStyle name="LineNum w/ Border 6" xfId="3133" xr:uid="{00000000-0005-0000-0000-0000320C0000}"/>
    <cellStyle name="LineNum w/ Border 6 2" xfId="3134" xr:uid="{00000000-0005-0000-0000-0000330C0000}"/>
    <cellStyle name="LineNum w/ Border 7" xfId="3135" xr:uid="{00000000-0005-0000-0000-0000340C0000}"/>
    <cellStyle name="LineNum w/ Border 7 2" xfId="3136" xr:uid="{00000000-0005-0000-0000-0000350C0000}"/>
    <cellStyle name="LineNum w/ Border 8" xfId="3137" xr:uid="{00000000-0005-0000-0000-0000360C0000}"/>
    <cellStyle name="LineNum w/ Border 8 2" xfId="3138" xr:uid="{00000000-0005-0000-0000-0000370C0000}"/>
    <cellStyle name="LineNum w/ Border 9" xfId="3139" xr:uid="{00000000-0005-0000-0000-0000380C0000}"/>
    <cellStyle name="LineNum w/ Border 9 2" xfId="3140" xr:uid="{00000000-0005-0000-0000-0000390C0000}"/>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3" xfId="3157" xr:uid="{00000000-0005-0000-0000-00004B0C0000}"/>
    <cellStyle name="m/d/yy 2 3 2" xfId="3158" xr:uid="{00000000-0005-0000-0000-00004C0C0000}"/>
    <cellStyle name="m/d/yy 2 4" xfId="3159" xr:uid="{00000000-0005-0000-0000-00004D0C0000}"/>
    <cellStyle name="m/d/yy 3" xfId="3160" xr:uid="{00000000-0005-0000-0000-00004E0C0000}"/>
    <cellStyle name="m/d/yy 3 2" xfId="3161" xr:uid="{00000000-0005-0000-0000-00004F0C0000}"/>
    <cellStyle name="m/d/yy 4" xfId="3162" xr:uid="{00000000-0005-0000-0000-0000500C0000}"/>
    <cellStyle name="m/d/yy 4 2" xfId="3163" xr:uid="{00000000-0005-0000-0000-0000510C0000}"/>
    <cellStyle name="m/d/yy 5" xfId="3164" xr:uid="{00000000-0005-0000-0000-0000520C0000}"/>
    <cellStyle name="m/d/yy 5 2" xfId="3165" xr:uid="{00000000-0005-0000-0000-0000530C0000}"/>
    <cellStyle name="m/d/yy 6" xfId="3166" xr:uid="{00000000-0005-0000-0000-0000540C0000}"/>
    <cellStyle name="m/d/yy 6 2" xfId="3167" xr:uid="{00000000-0005-0000-0000-0000550C0000}"/>
    <cellStyle name="m/d/yy 7" xfId="3168" xr:uid="{00000000-0005-0000-0000-0000560C0000}"/>
    <cellStyle name="m/d/yy 7 2" xfId="3169" xr:uid="{00000000-0005-0000-0000-0000570C0000}"/>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3" xfId="3176" xr:uid="{00000000-0005-0000-0000-00005E0C0000}"/>
    <cellStyle name="Magic 2 3 2" xfId="3177" xr:uid="{00000000-0005-0000-0000-00005F0C0000}"/>
    <cellStyle name="Magic 2 4" xfId="3178" xr:uid="{00000000-0005-0000-0000-0000600C0000}"/>
    <cellStyle name="Magic 3" xfId="3179" xr:uid="{00000000-0005-0000-0000-0000610C0000}"/>
    <cellStyle name="Magic 3 2" xfId="3180" xr:uid="{00000000-0005-0000-0000-0000620C0000}"/>
    <cellStyle name="Magic 4" xfId="3181" xr:uid="{00000000-0005-0000-0000-0000630C0000}"/>
    <cellStyle name="Magic 4 2" xfId="3182" xr:uid="{00000000-0005-0000-0000-0000640C0000}"/>
    <cellStyle name="Magic 5" xfId="3183" xr:uid="{00000000-0005-0000-0000-0000650C0000}"/>
    <cellStyle name="Magic 5 2" xfId="3184" xr:uid="{00000000-0005-0000-0000-0000660C0000}"/>
    <cellStyle name="Magic 6" xfId="3185" xr:uid="{00000000-0005-0000-0000-0000670C0000}"/>
    <cellStyle name="Magic 6 2" xfId="3186" xr:uid="{00000000-0005-0000-0000-0000680C0000}"/>
    <cellStyle name="Magic 7" xfId="3187" xr:uid="{00000000-0005-0000-0000-0000690C0000}"/>
    <cellStyle name="Magic 7 2" xfId="3188" xr:uid="{00000000-0005-0000-0000-00006A0C0000}"/>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3" xfId="3195" xr:uid="{00000000-0005-0000-0000-0000710C0000}"/>
    <cellStyle name="Mifrog 2 3 2" xfId="3196" xr:uid="{00000000-0005-0000-0000-0000720C0000}"/>
    <cellStyle name="Mifrog 2 4" xfId="3197" xr:uid="{00000000-0005-0000-0000-0000730C0000}"/>
    <cellStyle name="Mifrog 3" xfId="3198" xr:uid="{00000000-0005-0000-0000-0000740C0000}"/>
    <cellStyle name="Mifrog 3 2" xfId="3199" xr:uid="{00000000-0005-0000-0000-0000750C0000}"/>
    <cellStyle name="Mifrog 4" xfId="3200" xr:uid="{00000000-0005-0000-0000-0000760C0000}"/>
    <cellStyle name="Mifrog 4 2" xfId="3201" xr:uid="{00000000-0005-0000-0000-0000770C0000}"/>
    <cellStyle name="Mifrog 5" xfId="3202" xr:uid="{00000000-0005-0000-0000-0000780C0000}"/>
    <cellStyle name="Mifrog 5 2" xfId="3203" xr:uid="{00000000-0005-0000-0000-0000790C0000}"/>
    <cellStyle name="Mifrog 6" xfId="3204" xr:uid="{00000000-0005-0000-0000-00007A0C0000}"/>
    <cellStyle name="Mifrog 6 2" xfId="3205" xr:uid="{00000000-0005-0000-0000-00007B0C0000}"/>
    <cellStyle name="Mifrog 7" xfId="3206" xr:uid="{00000000-0005-0000-0000-00007C0C0000}"/>
    <cellStyle name="Mifrog 7 2" xfId="3207" xr:uid="{00000000-0005-0000-0000-00007D0C0000}"/>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3" xfId="3860" xr:uid="{00000000-0005-0000-0000-0000120F0000}"/>
    <cellStyle name="swpTotalsTotal 2 3 2" xfId="3861" xr:uid="{00000000-0005-0000-0000-0000130F0000}"/>
    <cellStyle name="swpTotalsTotal 2 4" xfId="3862" xr:uid="{00000000-0005-0000-0000-0000140F0000}"/>
    <cellStyle name="swpTotalsTotal 3" xfId="3863" xr:uid="{00000000-0005-0000-0000-0000150F0000}"/>
    <cellStyle name="swpTotalsTotal 3 2" xfId="3864" xr:uid="{00000000-0005-0000-0000-0000160F0000}"/>
    <cellStyle name="swpTotalsTotal 4" xfId="3865" xr:uid="{00000000-0005-0000-0000-0000170F0000}"/>
    <cellStyle name="swpTotalsTotal 4 2" xfId="3866" xr:uid="{00000000-0005-0000-0000-0000180F0000}"/>
    <cellStyle name="swpTotalsTotal 5" xfId="3867" xr:uid="{00000000-0005-0000-0000-0000190F0000}"/>
    <cellStyle name="swpTotalsTotal 5 2" xfId="3868" xr:uid="{00000000-0005-0000-0000-00001A0F0000}"/>
    <cellStyle name="swpTotalsTotal 6" xfId="3869" xr:uid="{00000000-0005-0000-0000-00001B0F0000}"/>
    <cellStyle name="swpTotalsTotal 6 2" xfId="3870" xr:uid="{00000000-0005-0000-0000-00001C0F0000}"/>
    <cellStyle name="swpTotalsTotal 7" xfId="3871" xr:uid="{00000000-0005-0000-0000-00001D0F0000}"/>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3" xfId="3915" xr:uid="{00000000-0005-0000-0000-00004B0F0000}"/>
    <cellStyle name="underlineHeading 2 3 2" xfId="3916" xr:uid="{00000000-0005-0000-0000-00004C0F0000}"/>
    <cellStyle name="underlineHeading 2 4" xfId="3917" xr:uid="{00000000-0005-0000-0000-00004D0F0000}"/>
    <cellStyle name="underlineHeading 3" xfId="3918" xr:uid="{00000000-0005-0000-0000-00004E0F0000}"/>
    <cellStyle name="underlineHeading 3 2" xfId="3919" xr:uid="{00000000-0005-0000-0000-00004F0F0000}"/>
    <cellStyle name="underlineHeading 4" xfId="3920" xr:uid="{00000000-0005-0000-0000-0000500F0000}"/>
    <cellStyle name="underlineHeading 4 2" xfId="3921" xr:uid="{00000000-0005-0000-0000-0000510F0000}"/>
    <cellStyle name="underlineHeading 5" xfId="3922" xr:uid="{00000000-0005-0000-0000-0000520F0000}"/>
    <cellStyle name="underlineHeading 5 2" xfId="3923" xr:uid="{00000000-0005-0000-0000-0000530F0000}"/>
    <cellStyle name="underlineHeading 6" xfId="3924" xr:uid="{00000000-0005-0000-0000-0000540F0000}"/>
    <cellStyle name="underlineHeading 6 2" xfId="3925" xr:uid="{00000000-0005-0000-0000-0000550F0000}"/>
    <cellStyle name="underlineHeading 7" xfId="3926" xr:uid="{00000000-0005-0000-0000-0000560F0000}"/>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4ECFA"/>
      <color rgb="FFFFFF66"/>
      <color rgb="FF97F12B"/>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 dT="2024-02-27T16:26:02.60" personId="{00000000-0000-0000-0000-000000000000}" id="{A24A2D70-ED4E-44AB-B5CC-4CE7AFC2F48A}">
    <text>No "&amp;" in Business Definition</text>
  </threadedComment>
  <threadedComment ref="D9" dT="2024-02-27T16:05:28.79" personId="{00000000-0000-0000-0000-000000000000}" id="{4AA4CE10-73FE-4646-8C7E-C1F0E2BF5E63}">
    <text>No spaces or any other format and No BYTE or CHAR please</text>
  </threadedComment>
  <threadedComment ref="H9" dT="2024-02-27T16:25:48.91" personId="{00000000-0000-0000-0000-000000000000}" id="{B5E08E26-35FA-412F-821B-340A9235FFC8}">
    <text>No "&amp;" in Business Definition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CE14-916F-44E5-ADDA-A49F8526702E}">
  <dimension ref="A1:AA140"/>
  <sheetViews>
    <sheetView tabSelected="1" topLeftCell="A45" zoomScale="90" zoomScaleNormal="90" workbookViewId="0">
      <selection activeCell="H48" sqref="H48"/>
    </sheetView>
  </sheetViews>
  <sheetFormatPr defaultRowHeight="15"/>
  <cols>
    <col min="1" max="1" width="40.7109375" customWidth="1"/>
    <col min="2" max="2" width="14.85546875" customWidth="1"/>
    <col min="3" max="3" width="33.5703125" bestFit="1" customWidth="1"/>
    <col min="4" max="4" width="22.85546875" bestFit="1" customWidth="1"/>
    <col min="5" max="5" width="9.28515625" customWidth="1"/>
    <col min="6" max="6" width="29.28515625" bestFit="1" customWidth="1"/>
    <col min="7" max="7" width="8.85546875" customWidth="1"/>
    <col min="8" max="8" width="61.28515625" style="34" customWidth="1"/>
    <col min="9" max="9" width="2.85546875" customWidth="1"/>
    <col min="10" max="10" width="9.28515625" hidden="1" customWidth="1"/>
    <col min="11" max="11" width="10.7109375" hidden="1" customWidth="1"/>
    <col min="12" max="12" width="3" customWidth="1"/>
    <col min="13" max="13" width="13" hidden="1" customWidth="1"/>
    <col min="14" max="15" width="11.28515625" hidden="1" customWidth="1"/>
    <col min="16" max="16" width="61.28515625" style="34" hidden="1" customWidth="1"/>
    <col min="17" max="17" width="55.7109375" style="30" hidden="1" customWidth="1"/>
    <col min="18" max="18" width="11.7109375" hidden="1" customWidth="1"/>
    <col min="19" max="19" width="27.7109375" hidden="1" customWidth="1"/>
    <col min="20" max="20" width="26.7109375" bestFit="1" customWidth="1"/>
    <col min="21" max="21" width="28.28515625" bestFit="1" customWidth="1"/>
    <col min="22" max="22" width="35.28515625" bestFit="1" customWidth="1"/>
    <col min="23" max="23" width="14.28515625" customWidth="1"/>
    <col min="24" max="24" width="11.7109375" customWidth="1"/>
    <col min="25" max="25" width="26.7109375" customWidth="1"/>
    <col min="26" max="26" width="29" bestFit="1" customWidth="1"/>
  </cols>
  <sheetData>
    <row r="1" spans="1:27" ht="15" customHeight="1">
      <c r="A1" s="14" t="s">
        <v>0</v>
      </c>
      <c r="B1" s="8" t="s">
        <v>1</v>
      </c>
      <c r="C1" s="8"/>
      <c r="D1" s="8"/>
      <c r="E1" s="8"/>
      <c r="F1" s="48" t="s">
        <v>2</v>
      </c>
      <c r="G1" s="48"/>
      <c r="H1" s="48"/>
      <c r="I1" s="48"/>
      <c r="J1" s="48"/>
      <c r="K1" s="48"/>
      <c r="L1" s="48"/>
      <c r="M1" s="48"/>
      <c r="N1" s="8"/>
      <c r="O1" s="8"/>
      <c r="P1" s="32"/>
      <c r="Q1" s="28"/>
      <c r="R1" s="8"/>
      <c r="S1" s="8"/>
      <c r="T1" s="8"/>
      <c r="U1" s="8"/>
      <c r="V1" s="8"/>
      <c r="W1" s="8"/>
      <c r="X1" s="8"/>
      <c r="Y1" s="8"/>
    </row>
    <row r="2" spans="1:27" ht="16.899999999999999" customHeight="1">
      <c r="A2" s="14" t="s">
        <v>3</v>
      </c>
      <c r="B2" s="8" t="s">
        <v>4</v>
      </c>
      <c r="C2" s="8"/>
      <c r="D2" s="8"/>
      <c r="E2" s="8"/>
      <c r="F2" s="48"/>
      <c r="G2" s="48"/>
      <c r="H2" s="48"/>
      <c r="I2" s="48"/>
      <c r="J2" s="48"/>
      <c r="K2" s="48"/>
      <c r="L2" s="48"/>
      <c r="M2" s="48"/>
      <c r="N2" s="8"/>
      <c r="O2" s="8"/>
      <c r="P2" s="32"/>
      <c r="Q2" s="28"/>
      <c r="R2" s="8"/>
      <c r="S2" s="8"/>
      <c r="T2" s="8"/>
      <c r="U2" s="8"/>
      <c r="V2" s="8"/>
      <c r="W2" s="8"/>
      <c r="X2" s="8"/>
      <c r="Y2" s="8"/>
    </row>
    <row r="3" spans="1:27">
      <c r="A3" s="15" t="s">
        <v>5</v>
      </c>
      <c r="B3" s="8"/>
      <c r="C3" s="8"/>
      <c r="D3" s="8"/>
      <c r="E3" s="8"/>
      <c r="F3" s="48"/>
      <c r="G3" s="48"/>
      <c r="H3" s="48"/>
      <c r="I3" s="48"/>
      <c r="J3" s="48"/>
      <c r="K3" s="48"/>
      <c r="L3" s="48"/>
      <c r="M3" s="48"/>
      <c r="N3" s="8"/>
      <c r="O3" s="8"/>
      <c r="P3" s="32"/>
      <c r="Q3" s="28"/>
      <c r="R3" s="8"/>
      <c r="S3" s="8"/>
      <c r="T3" s="8"/>
      <c r="U3" s="8"/>
      <c r="V3" s="8"/>
      <c r="W3" s="8"/>
      <c r="X3" s="8"/>
      <c r="Y3" s="8"/>
    </row>
    <row r="4" spans="1:27">
      <c r="A4" s="14" t="s">
        <v>6</v>
      </c>
      <c r="B4" s="8"/>
      <c r="C4" s="8"/>
      <c r="D4" s="8"/>
      <c r="E4" s="8"/>
      <c r="F4" s="48"/>
      <c r="G4" s="48"/>
      <c r="H4" s="48"/>
      <c r="I4" s="48"/>
      <c r="J4" s="48"/>
      <c r="K4" s="48"/>
      <c r="L4" s="48"/>
      <c r="M4" s="48"/>
      <c r="N4" s="8"/>
      <c r="O4" s="8"/>
      <c r="P4" s="32"/>
      <c r="Q4" s="28"/>
      <c r="R4" s="8"/>
      <c r="S4" s="8"/>
      <c r="T4" s="8"/>
      <c r="U4" s="8"/>
      <c r="V4" s="8"/>
      <c r="W4" s="8"/>
      <c r="X4" s="8"/>
      <c r="Y4" s="8"/>
    </row>
    <row r="5" spans="1:27" ht="144" customHeight="1">
      <c r="A5" s="14" t="s">
        <v>7</v>
      </c>
      <c r="B5" s="8" t="s">
        <v>8</v>
      </c>
      <c r="C5" s="8"/>
      <c r="D5" s="8"/>
      <c r="E5" s="8"/>
      <c r="F5" s="13" t="s">
        <v>9</v>
      </c>
      <c r="G5" s="6" t="s">
        <v>9</v>
      </c>
      <c r="H5" s="31" t="s">
        <v>9</v>
      </c>
      <c r="I5" s="57" t="s">
        <v>10</v>
      </c>
      <c r="J5" s="58"/>
      <c r="K5" s="8"/>
      <c r="M5" s="8"/>
      <c r="N5" s="8"/>
      <c r="O5" s="8"/>
      <c r="P5" s="32"/>
      <c r="Q5" s="28"/>
      <c r="R5" s="8"/>
      <c r="S5" s="8"/>
      <c r="T5" s="8"/>
      <c r="U5" s="8"/>
      <c r="V5" s="8"/>
      <c r="W5" s="8"/>
      <c r="X5" s="8"/>
      <c r="Y5" s="8"/>
    </row>
    <row r="6" spans="1:27" ht="30">
      <c r="A6" s="14" t="s">
        <v>11</v>
      </c>
      <c r="B6" s="8"/>
      <c r="C6" s="8"/>
      <c r="D6" s="8"/>
      <c r="E6" s="8"/>
      <c r="F6" s="8"/>
      <c r="G6" s="8"/>
      <c r="H6" s="32"/>
      <c r="I6" s="8"/>
      <c r="J6" s="8"/>
      <c r="K6" s="8"/>
      <c r="L6" s="8"/>
      <c r="M6" s="8"/>
      <c r="N6" s="8"/>
      <c r="O6" s="8"/>
      <c r="P6" s="32"/>
      <c r="Q6" s="28"/>
      <c r="R6" s="8"/>
      <c r="S6" s="8"/>
      <c r="T6" s="8"/>
      <c r="U6" s="8"/>
      <c r="V6" s="8"/>
      <c r="W6" s="8"/>
      <c r="X6" s="8"/>
      <c r="Y6" s="8"/>
    </row>
    <row r="7" spans="1:27">
      <c r="A7" s="14" t="s">
        <v>12</v>
      </c>
      <c r="B7" s="8"/>
      <c r="C7" s="8"/>
      <c r="D7" s="8"/>
      <c r="E7" s="8"/>
      <c r="F7" s="8"/>
      <c r="G7" s="8"/>
      <c r="H7" s="32"/>
      <c r="I7" s="8"/>
      <c r="J7" s="8"/>
      <c r="K7" s="8"/>
      <c r="L7" s="8"/>
      <c r="M7" s="8"/>
      <c r="N7" s="8"/>
      <c r="O7" s="8"/>
      <c r="P7" s="32"/>
      <c r="Q7" s="28"/>
      <c r="R7" s="8"/>
      <c r="S7" s="8"/>
      <c r="T7" s="8"/>
      <c r="U7" s="8"/>
      <c r="V7" s="8"/>
      <c r="W7" s="8"/>
      <c r="X7" s="8"/>
      <c r="Y7" s="8"/>
    </row>
    <row r="8" spans="1:27" ht="15" customHeight="1">
      <c r="A8" s="49" t="s">
        <v>13</v>
      </c>
      <c r="B8" s="50"/>
      <c r="C8" s="50"/>
      <c r="D8" s="50"/>
      <c r="E8" s="50"/>
      <c r="F8" s="50"/>
      <c r="G8" s="50"/>
      <c r="H8" s="51"/>
      <c r="I8" s="17"/>
      <c r="J8" s="17"/>
      <c r="K8" s="17"/>
      <c r="L8" s="17"/>
      <c r="M8" s="17"/>
      <c r="N8" s="54" t="s">
        <v>14</v>
      </c>
      <c r="O8" s="55"/>
      <c r="P8" s="55"/>
      <c r="Q8" s="55"/>
      <c r="R8" s="55"/>
      <c r="S8" s="55"/>
      <c r="T8" s="55"/>
      <c r="U8" s="55"/>
      <c r="V8" s="55"/>
      <c r="W8" s="56"/>
      <c r="X8" s="52" t="s">
        <v>15</v>
      </c>
      <c r="Y8" s="53"/>
    </row>
    <row r="9" spans="1:27" s="4" customFormat="1" ht="75" customHeight="1">
      <c r="A9" s="7" t="s">
        <v>16</v>
      </c>
      <c r="B9" s="23" t="s">
        <v>17</v>
      </c>
      <c r="C9" s="18" t="s">
        <v>18</v>
      </c>
      <c r="D9" s="7" t="s">
        <v>19</v>
      </c>
      <c r="E9" s="7" t="s">
        <v>20</v>
      </c>
      <c r="F9" s="6" t="s">
        <v>21</v>
      </c>
      <c r="G9" s="7" t="s">
        <v>22</v>
      </c>
      <c r="H9" s="33" t="s">
        <v>23</v>
      </c>
      <c r="I9" s="7" t="s">
        <v>24</v>
      </c>
      <c r="J9" s="7" t="s">
        <v>25</v>
      </c>
      <c r="K9" s="7" t="s">
        <v>26</v>
      </c>
      <c r="L9" s="7" t="s">
        <v>27</v>
      </c>
      <c r="M9" s="18" t="s">
        <v>28</v>
      </c>
      <c r="N9" s="18" t="s">
        <v>29</v>
      </c>
      <c r="O9" s="18" t="s">
        <v>30</v>
      </c>
      <c r="P9" s="37"/>
      <c r="Q9" s="18"/>
      <c r="R9" s="18" t="s">
        <v>31</v>
      </c>
      <c r="S9" s="18" t="s">
        <v>32</v>
      </c>
      <c r="T9" s="9" t="s">
        <v>33</v>
      </c>
      <c r="U9" s="10" t="s">
        <v>34</v>
      </c>
      <c r="V9" s="11" t="s">
        <v>35</v>
      </c>
      <c r="W9" s="12" t="s">
        <v>36</v>
      </c>
      <c r="X9" s="12" t="s">
        <v>37</v>
      </c>
      <c r="Y9" s="20" t="s">
        <v>38</v>
      </c>
      <c r="Z9" s="13" t="s">
        <v>39</v>
      </c>
      <c r="AA9"/>
    </row>
    <row r="10" spans="1:27">
      <c r="A10" t="s">
        <v>40</v>
      </c>
      <c r="B10" s="21"/>
      <c r="C10" s="5"/>
      <c r="D10" s="5" t="s">
        <v>41</v>
      </c>
      <c r="E10" s="5" t="s">
        <v>42</v>
      </c>
      <c r="F10" s="5" t="s">
        <v>43</v>
      </c>
      <c r="G10" s="5" t="s">
        <v>42</v>
      </c>
      <c r="H10" t="s">
        <v>44</v>
      </c>
      <c r="I10" s="2"/>
      <c r="J10" s="2"/>
      <c r="K10" s="2"/>
      <c r="L10" s="2"/>
      <c r="M10" s="2" t="e">
        <f>VLOOKUP(A10,Model!C$2:J$93,2,FALSE)=C10</f>
        <v>#N/A</v>
      </c>
      <c r="N10" s="2"/>
      <c r="O10" s="2" t="e">
        <f>VLOOKUP(A10,Model!C$2:J$93,3,FALSE)=H10</f>
        <v>#N/A</v>
      </c>
      <c r="P10" s="29" t="e">
        <f>VLOOKUP(A10,Model!C$2:J$93,3,FALSE)</f>
        <v>#N/A</v>
      </c>
      <c r="Q10" s="29" t="e">
        <f>VLOOKUP(A10,Model!C$2:J$93,8,FALSE)</f>
        <v>#N/A</v>
      </c>
      <c r="R10" s="2" t="e">
        <f>VLOOKUP(C10,Table!A$2:F$98,1,FALSE)=C10</f>
        <v>#N/A</v>
      </c>
      <c r="S10" s="2" t="e">
        <f>VLOOKUP(SUBSTITUTE(A10," ","_"),View!A$2:I$106,1,FALSE)</f>
        <v>#N/A</v>
      </c>
      <c r="T10" s="3"/>
      <c r="U10" s="5"/>
      <c r="V10" s="5"/>
      <c r="W10" s="5" t="s">
        <v>41</v>
      </c>
      <c r="X10" s="5" t="s">
        <v>42</v>
      </c>
      <c r="Y10" s="19"/>
      <c r="Z10" s="1"/>
    </row>
    <row r="11" spans="1:27" ht="45">
      <c r="A11" s="21" t="s">
        <v>45</v>
      </c>
      <c r="B11" s="21"/>
      <c r="C11" s="5" t="s">
        <v>46</v>
      </c>
      <c r="D11" s="5" t="s">
        <v>47</v>
      </c>
      <c r="E11" s="5" t="s">
        <v>48</v>
      </c>
      <c r="F11" s="5" t="s">
        <v>49</v>
      </c>
      <c r="G11" s="5" t="s">
        <v>48</v>
      </c>
      <c r="H11" s="27" t="s">
        <v>50</v>
      </c>
      <c r="I11" s="5"/>
      <c r="J11" s="5"/>
      <c r="K11" s="5"/>
      <c r="L11" s="5"/>
      <c r="M11" s="2" t="b">
        <f>VLOOKUP(A11,Model!C$2:J$93,2,FALSE)=C11</f>
        <v>1</v>
      </c>
      <c r="N11" s="5"/>
      <c r="O11" s="2" t="b">
        <f>VLOOKUP(A11,Model!C$2:J$93,3,FALSE)=H11</f>
        <v>0</v>
      </c>
      <c r="P11" s="29" t="str">
        <f>VLOOKUP(A11,Model!C$2:J$93,3,FALSE)</f>
        <v xml:space="preserve">MAXIT: Hardcode ??? We need to setup a source system
RJT Source: TAX_LOT_OPN_MSTR.SRC_STM_ID
</v>
      </c>
      <c r="Q11" s="29">
        <f>VLOOKUP(A11,Model!C$2:J$93,8,FALSE)</f>
        <v>2</v>
      </c>
      <c r="R11" s="2" t="b">
        <f>VLOOKUP(C11,Table!A$2:F$98,1,FALSE)=C11</f>
        <v>1</v>
      </c>
      <c r="S11" s="2" t="str">
        <f>VLOOKUP(SUBSTITUTE(A11," ","_"),View!A$2:I$106,1,FALSE)</f>
        <v>SOURCE_SYSTEM_CODE</v>
      </c>
      <c r="T11" s="3" t="s">
        <v>51</v>
      </c>
      <c r="U11" s="5" t="s">
        <v>52</v>
      </c>
      <c r="V11" s="5" t="s">
        <v>46</v>
      </c>
      <c r="W11" s="5" t="s">
        <v>47</v>
      </c>
      <c r="X11" s="5" t="s">
        <v>48</v>
      </c>
      <c r="Y11" s="19" t="s">
        <v>53</v>
      </c>
      <c r="Z11" s="5"/>
    </row>
    <row r="12" spans="1:27" ht="66" customHeight="1">
      <c r="A12" s="21" t="s">
        <v>54</v>
      </c>
      <c r="B12" s="21"/>
      <c r="C12" s="5" t="s">
        <v>55</v>
      </c>
      <c r="D12" s="5" t="s">
        <v>41</v>
      </c>
      <c r="E12" s="5" t="s">
        <v>48</v>
      </c>
      <c r="F12" s="5" t="s">
        <v>41</v>
      </c>
      <c r="G12" s="5" t="s">
        <v>48</v>
      </c>
      <c r="H12" s="27" t="s">
        <v>56</v>
      </c>
      <c r="I12" s="5"/>
      <c r="J12" s="5"/>
      <c r="K12" s="5"/>
      <c r="L12" s="5"/>
      <c r="M12" s="2" t="b">
        <f>VLOOKUP(A12,Model!C$2:J$93,2,FALSE)=C12</f>
        <v>1</v>
      </c>
      <c r="N12" s="5"/>
      <c r="O12" s="2" t="b">
        <f>VLOOKUP(A12,Model!C$2:J$93,3,FALSE)=H12</f>
        <v>0</v>
      </c>
      <c r="P12" s="29" t="str">
        <f>VLOOKUP(A12,Model!C$2:J$93,3,FALSE)</f>
        <v>Arrangement Id for the account
MAXIT Source:TAX_LOT_DTL_OPN/CLS.AR_ID
RJT Source:TAX_LOT_OPN_MSTR.AR_ID</v>
      </c>
      <c r="Q12" s="29">
        <f>VLOOKUP(A12,Model!C$2:J$93,8,FALSE)</f>
        <v>3</v>
      </c>
      <c r="R12" s="2" t="b">
        <f>VLOOKUP(C12,Table!A$2:F$98,1,FALSE)=C12</f>
        <v>1</v>
      </c>
      <c r="S12" s="2" t="str">
        <f>VLOOKUP(SUBSTITUTE(A12," ","_"),View!A$2:I$106,1,FALSE)</f>
        <v>ARRANGEMENT_ID</v>
      </c>
      <c r="T12" s="3" t="s">
        <v>57</v>
      </c>
      <c r="U12" s="5" t="s">
        <v>58</v>
      </c>
      <c r="V12" s="5" t="s">
        <v>55</v>
      </c>
      <c r="W12" s="5" t="s">
        <v>59</v>
      </c>
      <c r="X12" s="5" t="s">
        <v>48</v>
      </c>
      <c r="Y12" s="19"/>
      <c r="Z12" s="5"/>
    </row>
    <row r="13" spans="1:27" ht="50.25" customHeight="1">
      <c r="A13" s="21" t="s">
        <v>60</v>
      </c>
      <c r="B13" s="21"/>
      <c r="C13" s="5" t="s">
        <v>61</v>
      </c>
      <c r="D13" s="5" t="s">
        <v>41</v>
      </c>
      <c r="E13" s="5" t="s">
        <v>48</v>
      </c>
      <c r="F13" s="5" t="s">
        <v>41</v>
      </c>
      <c r="G13" s="5" t="s">
        <v>48</v>
      </c>
      <c r="H13" s="27" t="s">
        <v>62</v>
      </c>
      <c r="I13" s="5"/>
      <c r="J13" s="5"/>
      <c r="K13" s="5"/>
      <c r="L13" s="5"/>
      <c r="M13" s="2" t="b">
        <f>VLOOKUP(A13,Model!C$2:J$93,2,FALSE)=C13</f>
        <v>1</v>
      </c>
      <c r="N13" s="5"/>
      <c r="O13" s="2" t="b">
        <f>VLOOKUP(A13,Model!C$2:J$93,3,FALSE)=H13</f>
        <v>0</v>
      </c>
      <c r="P13" s="29" t="str">
        <f>VLOOKUP(A13,Model!C$2:J$93,3,FALSE)</f>
        <v>MAXIT Source: TAX_LOT_DTL_OPN/CLS.PD_ID
RJT Source: TAX_LOT_OPN_MSTR.CCAL_PD_ID
Lookup on IMT_PD_DIM using CL_PD_ID
PD_ID from CIRD - can be used as join key if date context is supplied at query time</v>
      </c>
      <c r="Q13" s="29">
        <f>VLOOKUP(A13,Model!C$2:J$93,8,FALSE)</f>
        <v>4</v>
      </c>
      <c r="R13" s="2" t="b">
        <f>VLOOKUP(C13,Table!A$2:F$98,1,FALSE)=C13</f>
        <v>1</v>
      </c>
      <c r="S13" s="2" t="str">
        <f>VLOOKUP(SUBSTITUTE(A13," ","_"),View!A$2:I$106,1,FALSE)</f>
        <v>CIRD_PRODUCT_ID</v>
      </c>
      <c r="T13" s="3" t="s">
        <v>63</v>
      </c>
      <c r="U13" s="5" t="s">
        <v>64</v>
      </c>
      <c r="V13" s="5" t="s">
        <v>61</v>
      </c>
      <c r="W13" s="5" t="s">
        <v>59</v>
      </c>
      <c r="X13" s="5" t="s">
        <v>48</v>
      </c>
      <c r="Y13" s="19" t="s">
        <v>65</v>
      </c>
      <c r="Z13" s="5"/>
    </row>
    <row r="14" spans="1:27" ht="33.75" customHeight="1">
      <c r="A14" s="21" t="s">
        <v>66</v>
      </c>
      <c r="B14" s="21"/>
      <c r="C14" s="5" t="s">
        <v>67</v>
      </c>
      <c r="D14" s="5" t="s">
        <v>41</v>
      </c>
      <c r="E14" s="5" t="s">
        <v>48</v>
      </c>
      <c r="F14" s="5" t="s">
        <v>41</v>
      </c>
      <c r="G14" s="5" t="s">
        <v>48</v>
      </c>
      <c r="H14" s="27" t="s">
        <v>68</v>
      </c>
      <c r="I14" s="5"/>
      <c r="J14" s="5"/>
      <c r="K14" s="5"/>
      <c r="L14" s="5"/>
      <c r="M14" s="2" t="b">
        <f>VLOOKUP(A14,Model!C$2:J$93,2,FALSE)=C14</f>
        <v>1</v>
      </c>
      <c r="N14" s="5"/>
      <c r="O14" s="2" t="b">
        <f>VLOOKUP(A14,Model!C$2:J$93,3,FALSE)=H14</f>
        <v>0</v>
      </c>
      <c r="P14" s="29" t="str">
        <f>VLOOKUP(A14,Model!C$2:J$93,3,FALSE)</f>
        <v xml:space="preserve">Product Id assigned by CCAL
MAXIT Source: TAX_LOT_DTL_OPN/CLS.PD_ID
RJT Source: TAX_LOT_OPN_MSTR.CCAL_PD_ID
</v>
      </c>
      <c r="Q14" s="29">
        <f>VLOOKUP(A14,Model!C$2:J$93,8,FALSE)</f>
        <v>5</v>
      </c>
      <c r="R14" s="2" t="b">
        <f>VLOOKUP(C14,Table!A$2:F$98,1,FALSE)=C14</f>
        <v>1</v>
      </c>
      <c r="S14" s="2" t="str">
        <f>VLOOKUP(SUBSTITUTE(A14," ","_"),View!A$2:I$106,1,FALSE)</f>
        <v>CCAL_PRODUCT_ID</v>
      </c>
      <c r="T14" s="3" t="s">
        <v>57</v>
      </c>
      <c r="U14" s="5" t="s">
        <v>58</v>
      </c>
      <c r="V14" s="5" t="s">
        <v>67</v>
      </c>
      <c r="W14" s="5" t="s">
        <v>59</v>
      </c>
      <c r="X14" s="5" t="s">
        <v>48</v>
      </c>
      <c r="Y14" s="19"/>
      <c r="Z14" s="5"/>
    </row>
    <row r="15" spans="1:27" ht="117" customHeight="1">
      <c r="A15" s="21" t="s">
        <v>69</v>
      </c>
      <c r="B15" s="21"/>
      <c r="C15" s="5" t="s">
        <v>70</v>
      </c>
      <c r="D15" s="5" t="s">
        <v>71</v>
      </c>
      <c r="E15" s="5" t="s">
        <v>48</v>
      </c>
      <c r="F15" s="5" t="s">
        <v>72</v>
      </c>
      <c r="G15" s="5" t="s">
        <v>48</v>
      </c>
      <c r="H15" s="27" t="s">
        <v>73</v>
      </c>
      <c r="I15" s="5"/>
      <c r="J15" s="5"/>
      <c r="K15" s="5"/>
      <c r="L15" s="5"/>
      <c r="M15" s="2" t="b">
        <f>VLOOKUP(A15,Model!C$2:J$93,2,FALSE)=C15</f>
        <v>1</v>
      </c>
      <c r="N15" s="5"/>
      <c r="O15" s="2" t="b">
        <f>VLOOKUP(A15,Model!C$2:J$93,3,FALSE)=H15</f>
        <v>0</v>
      </c>
      <c r="P15" s="29" t="str">
        <f>VLOOKUP(A15,Model!C$2:J$93,3,FALSE)</f>
        <v xml:space="preserve">MAXIT Source: TAXLOT_DTL_OPN.AC_TP
RJT Source: TAX_LOT_OPN_MSTR.ACG_TP_CODE
Accounting type code from SIS (e.g., 1,2,6). 
1= Cash Account
2= Margin Account
3= Special lot 2019
5= Special lot 2013
6= Short margin Account
</v>
      </c>
      <c r="Q15" s="29">
        <f>VLOOKUP(A15,Model!C$2:J$93,8,FALSE)</f>
        <v>8</v>
      </c>
      <c r="R15" s="2" t="b">
        <f>VLOOKUP(C15,Table!A$2:F$98,1,FALSE)=C15</f>
        <v>1</v>
      </c>
      <c r="S15" s="2" t="str">
        <f>VLOOKUP(SUBSTITUTE(A15," ","_"),View!A$2:I$106,1,FALSE)</f>
        <v>ACCOUNTING_TYPE_CODE</v>
      </c>
      <c r="T15" s="3" t="s">
        <v>57</v>
      </c>
      <c r="U15" s="5" t="s">
        <v>58</v>
      </c>
      <c r="V15" s="5" t="s">
        <v>74</v>
      </c>
      <c r="W15" s="5" t="s">
        <v>71</v>
      </c>
      <c r="X15" s="5" t="s">
        <v>48</v>
      </c>
      <c r="Y15" s="19"/>
      <c r="Z15" s="5"/>
    </row>
    <row r="16" spans="1:27" ht="45">
      <c r="A16" s="21" t="s">
        <v>75</v>
      </c>
      <c r="B16" s="21"/>
      <c r="C16" s="5" t="s">
        <v>76</v>
      </c>
      <c r="D16" s="5" t="s">
        <v>77</v>
      </c>
      <c r="E16" s="5" t="s">
        <v>48</v>
      </c>
      <c r="F16" s="5" t="s">
        <v>78</v>
      </c>
      <c r="G16" s="5" t="s">
        <v>48</v>
      </c>
      <c r="H16" s="27" t="s">
        <v>79</v>
      </c>
      <c r="I16" s="5"/>
      <c r="J16" s="5"/>
      <c r="K16" s="5"/>
      <c r="L16" s="5"/>
      <c r="M16" s="2" t="b">
        <f>VLOOKUP(A16,Model!C$2:J$93,2,FALSE)=C16</f>
        <v>1</v>
      </c>
      <c r="N16" s="5"/>
      <c r="O16" s="2" t="b">
        <f>VLOOKUP(A16,Model!C$2:J$93,3,FALSE)=H16</f>
        <v>0</v>
      </c>
      <c r="P16" s="29" t="str">
        <f>VLOOKUP(A16,Model!C$2:J$93,3,FALSE)</f>
        <v xml:space="preserve">MAXIT source: MAXIT_IFCE_SEQ_ID
RJT Source: TAX_LOT_OPN_MSTR.TAX_LOT_EXT_REFR_KEY_PRIM
</v>
      </c>
      <c r="Q16" s="29">
        <f>VLOOKUP(A16,Model!C$2:J$93,8,FALSE)</f>
        <v>9</v>
      </c>
      <c r="R16" s="2" t="b">
        <f>VLOOKUP(C16,Table!A$2:F$98,1,FALSE)=C16</f>
        <v>1</v>
      </c>
      <c r="S16" s="2" t="str">
        <f>VLOOKUP(SUBSTITUTE(A16," ","_"),View!A$2:I$106,1,FALSE)</f>
        <v>TAX_LOT_EXTERNAL_REFERENCE_KEY_PRIMARY</v>
      </c>
      <c r="T16" s="3" t="s">
        <v>57</v>
      </c>
      <c r="U16" s="5" t="s">
        <v>58</v>
      </c>
      <c r="V16" s="5" t="s">
        <v>76</v>
      </c>
      <c r="W16" s="5" t="s">
        <v>77</v>
      </c>
      <c r="X16" s="5" t="s">
        <v>48</v>
      </c>
      <c r="Y16" s="19"/>
      <c r="Z16" s="5"/>
    </row>
    <row r="17" spans="1:26" ht="45">
      <c r="A17" s="21" t="s">
        <v>80</v>
      </c>
      <c r="B17" s="21"/>
      <c r="C17" s="5" t="s">
        <v>81</v>
      </c>
      <c r="D17" s="5" t="s">
        <v>47</v>
      </c>
      <c r="E17" s="5" t="s">
        <v>48</v>
      </c>
      <c r="F17" s="5" t="s">
        <v>49</v>
      </c>
      <c r="G17" s="5" t="s">
        <v>48</v>
      </c>
      <c r="H17" s="27" t="s">
        <v>82</v>
      </c>
      <c r="I17" s="5"/>
      <c r="J17" s="5"/>
      <c r="K17" s="5"/>
      <c r="L17" s="5"/>
      <c r="M17" s="2" t="b">
        <f>VLOOKUP(A17,Model!C$2:J$93,2,FALSE)=C17</f>
        <v>1</v>
      </c>
      <c r="N17" s="5"/>
      <c r="O17" s="2" t="b">
        <f>VLOOKUP(A17,Model!C$2:J$93,3,FALSE)=H17</f>
        <v>0</v>
      </c>
      <c r="P17" s="29" t="str">
        <f>VLOOKUP(A17,Model!C$2:J$93,3,FALSE)</f>
        <v xml:space="preserve">source:TAXLOT_DTL_OPN.MAXIT_REL_IFCE_SEQ_ID
RJT Source: TAX_LOT_OPN_MSTR.TAX_LOT_EXT_REFR_KEY_SCDY
</v>
      </c>
      <c r="Q17" s="29">
        <f>VLOOKUP(A17,Model!C$2:J$93,8,FALSE)</f>
        <v>10</v>
      </c>
      <c r="R17" s="2" t="b">
        <f>VLOOKUP(C17,Table!A$2:F$98,1,FALSE)=C17</f>
        <v>1</v>
      </c>
      <c r="S17" s="2" t="str">
        <f>VLOOKUP(SUBSTITUTE(A17," ","_"),View!A$2:I$106,1,FALSE)</f>
        <v>TAX_LOT_EXTERNAL_REFERENCE_KEY_SECONDARY</v>
      </c>
      <c r="T17" s="3" t="s">
        <v>57</v>
      </c>
      <c r="U17" s="5" t="s">
        <v>58</v>
      </c>
      <c r="V17" s="27" t="s">
        <v>81</v>
      </c>
      <c r="W17" s="5" t="s">
        <v>47</v>
      </c>
      <c r="X17" s="5" t="s">
        <v>48</v>
      </c>
      <c r="Y17" s="19"/>
      <c r="Z17" s="5"/>
    </row>
    <row r="18" spans="1:26" ht="30">
      <c r="A18" s="21" t="s">
        <v>83</v>
      </c>
      <c r="B18" s="21"/>
      <c r="C18" s="5" t="s">
        <v>84</v>
      </c>
      <c r="D18" s="5" t="s">
        <v>41</v>
      </c>
      <c r="E18" s="5" t="s">
        <v>48</v>
      </c>
      <c r="F18" s="5" t="s">
        <v>43</v>
      </c>
      <c r="G18" s="5" t="s">
        <v>48</v>
      </c>
      <c r="H18" s="27" t="s">
        <v>85</v>
      </c>
      <c r="I18" s="5"/>
      <c r="J18" s="5"/>
      <c r="K18" s="5"/>
      <c r="L18" s="5"/>
      <c r="M18" s="2" t="b">
        <f>VLOOKUP(A18,Model!C$2:J$93,2,FALSE)=C18</f>
        <v>1</v>
      </c>
      <c r="N18" s="5"/>
      <c r="O18" s="2" t="b">
        <f>VLOOKUP(A18,Model!C$2:J$93,3,FALSE)=H18</f>
        <v>0</v>
      </c>
      <c r="P18" s="29" t="str">
        <f>VLOOKUP(A18,Model!C$2:J$93,3,FALSE)</f>
        <v>Source: TAXLOT_DTL_OPN.MAXIT_TXN_LOT_ID
RJT Source: TAX_LOT_OPN_MSTR.TAX_LOT_EXT_REFR_KEY_TRTY</v>
      </c>
      <c r="Q18" s="29">
        <f>VLOOKUP(A18,Model!C$2:J$93,8,FALSE)</f>
        <v>11</v>
      </c>
      <c r="R18" s="2" t="b">
        <f>VLOOKUP(C18,Table!A$2:F$98,1,FALSE)=C18</f>
        <v>1</v>
      </c>
      <c r="S18" s="2" t="str">
        <f>VLOOKUP(SUBSTITUTE(A18," ","_"),View!A$2:I$106,1,FALSE)</f>
        <v>TAX_LOT_EXTERNAL_REFERENCE_KEY_TERTIARY</v>
      </c>
      <c r="T18" s="3" t="s">
        <v>57</v>
      </c>
      <c r="U18" s="5" t="s">
        <v>58</v>
      </c>
      <c r="V18" s="27" t="s">
        <v>84</v>
      </c>
      <c r="W18" s="5" t="s">
        <v>41</v>
      </c>
      <c r="X18" s="5" t="s">
        <v>48</v>
      </c>
      <c r="Y18" s="19"/>
      <c r="Z18" s="5"/>
    </row>
    <row r="19" spans="1:26" ht="45">
      <c r="A19" s="21" t="s">
        <v>86</v>
      </c>
      <c r="B19" s="21"/>
      <c r="C19" s="5" t="s">
        <v>87</v>
      </c>
      <c r="D19" s="5" t="s">
        <v>41</v>
      </c>
      <c r="E19" s="5" t="s">
        <v>48</v>
      </c>
      <c r="F19" s="5" t="s">
        <v>43</v>
      </c>
      <c r="G19" s="5" t="s">
        <v>48</v>
      </c>
      <c r="H19" s="42" t="s">
        <v>88</v>
      </c>
      <c r="I19" s="5"/>
      <c r="J19" s="5"/>
      <c r="K19" s="5"/>
      <c r="L19" s="5"/>
      <c r="M19" s="2" t="b">
        <f>VLOOKUP(A19,Model!C$2:J$93,2,FALSE)=C19</f>
        <v>1</v>
      </c>
      <c r="N19" s="5"/>
      <c r="O19" s="2" t="b">
        <f>VLOOKUP(A19,Model!C$2:J$93,3,FALSE)=H19</f>
        <v>0</v>
      </c>
      <c r="P19" s="29" t="str">
        <f>VLOOKUP(A19,Model!C$2:J$93,3,FALSE)</f>
        <v xml:space="preserve">SOurce: TAXLOT_DTL_OPN.REL_LOT_ID
RJT Source: TAX_LOT_OPN_MSTR.TAX_LOT_EXT_REFR_KEY_QTRNY
</v>
      </c>
      <c r="Q19" s="29">
        <f>VLOOKUP(A19,Model!C$2:J$93,8,FALSE)</f>
        <v>12</v>
      </c>
      <c r="R19" s="2" t="b">
        <f>VLOOKUP(C19,Table!A$2:F$98,1,FALSE)=C19</f>
        <v>1</v>
      </c>
      <c r="S19" s="2" t="str">
        <f>VLOOKUP(SUBSTITUTE(A19," ","_"),View!A$2:I$106,1,FALSE)</f>
        <v>TAX_LOT_EXTERNAL_REFERENCE_KEY_QUATERNARY</v>
      </c>
      <c r="T19" s="3" t="s">
        <v>57</v>
      </c>
      <c r="U19" s="5" t="s">
        <v>58</v>
      </c>
      <c r="V19" s="27" t="s">
        <v>87</v>
      </c>
      <c r="W19" s="5" t="s">
        <v>41</v>
      </c>
      <c r="X19" s="5" t="s">
        <v>48</v>
      </c>
      <c r="Y19" s="19"/>
      <c r="Z19" s="5"/>
    </row>
    <row r="20" spans="1:26" ht="45">
      <c r="A20" s="21" t="s">
        <v>89</v>
      </c>
      <c r="B20" s="21"/>
      <c r="C20" s="5" t="s">
        <v>90</v>
      </c>
      <c r="D20" s="5" t="s">
        <v>91</v>
      </c>
      <c r="E20" s="5" t="s">
        <v>42</v>
      </c>
      <c r="F20" s="5" t="s">
        <v>92</v>
      </c>
      <c r="G20" s="5" t="s">
        <v>42</v>
      </c>
      <c r="H20" s="27" t="s">
        <v>93</v>
      </c>
      <c r="I20" s="5"/>
      <c r="J20" s="5"/>
      <c r="K20" s="5"/>
      <c r="L20" s="5"/>
      <c r="M20" s="2" t="b">
        <f>VLOOKUP(A20,Model!C$2:J$93,2,FALSE)=C20</f>
        <v>1</v>
      </c>
      <c r="N20" s="5"/>
      <c r="O20" s="2" t="b">
        <f>VLOOKUP(A20,Model!C$2:J$93,3,FALSE)=H20</f>
        <v>0</v>
      </c>
      <c r="P20" s="29" t="str">
        <f>VLOOKUP(A20,Model!C$2:J$93,3,FALSE)</f>
        <v xml:space="preserve">MAXIT Source: TAXLOT_DTL_OPN.END_DT
RJT Source: TAX_LOT_OPN_ASOF.EFF_TO_DT
</v>
      </c>
      <c r="Q20" s="29">
        <f>VLOOKUP(A20,Model!C$2:J$93,8,FALSE)</f>
        <v>13</v>
      </c>
      <c r="R20" s="2" t="b">
        <f>VLOOKUP(C20,Table!A$2:F$98,1,FALSE)=C20</f>
        <v>1</v>
      </c>
      <c r="S20" s="2" t="str">
        <f>VLOOKUP(SUBSTITUTE(A20," ","_"),View!A$2:I$106,1,FALSE)</f>
        <v>END_DATE</v>
      </c>
      <c r="T20" s="3" t="s">
        <v>57</v>
      </c>
      <c r="U20" s="5" t="s">
        <v>58</v>
      </c>
      <c r="V20" s="5" t="s">
        <v>94</v>
      </c>
      <c r="W20" s="5" t="s">
        <v>91</v>
      </c>
      <c r="X20" s="5" t="s">
        <v>42</v>
      </c>
      <c r="Y20" s="19"/>
      <c r="Z20" s="5"/>
    </row>
    <row r="21" spans="1:26" ht="60">
      <c r="A21" s="21" t="s">
        <v>95</v>
      </c>
      <c r="B21" s="21"/>
      <c r="C21" s="5" t="s">
        <v>96</v>
      </c>
      <c r="D21" s="5" t="s">
        <v>91</v>
      </c>
      <c r="E21" s="5" t="s">
        <v>48</v>
      </c>
      <c r="F21" s="5" t="s">
        <v>92</v>
      </c>
      <c r="G21" s="5" t="s">
        <v>48</v>
      </c>
      <c r="H21" s="27" t="s">
        <v>97</v>
      </c>
      <c r="I21" s="5"/>
      <c r="J21" s="5"/>
      <c r="K21" s="5"/>
      <c r="L21" s="5"/>
      <c r="M21" s="2" t="b">
        <f>VLOOKUP(A21,Model!C$2:J$93,2,FALSE)=C21</f>
        <v>1</v>
      </c>
      <c r="N21" s="5"/>
      <c r="O21" s="2" t="b">
        <f>VLOOKUP(A21,Model!C$2:J$93,3,FALSE)=H21</f>
        <v>0</v>
      </c>
      <c r="P21" s="29" t="str">
        <f>VLOOKUP(A21,Model!C$2:J$93,3,FALSE)</f>
        <v xml:space="preserve">MAXIT Source: TAXLOT_DTL_OPN.EFF_DT_x000D_
RJT Source: TAX_LOT_OPN_ASOF.EFF_FM_DT_x000D_
_x000D_
</v>
      </c>
      <c r="Q21" s="29">
        <f>VLOOKUP(A21,Model!C$2:J$93,8,FALSE)</f>
        <v>14</v>
      </c>
      <c r="R21" s="2" t="b">
        <f>VLOOKUP(C21,Table!A$2:F$98,1,FALSE)=C21</f>
        <v>1</v>
      </c>
      <c r="S21" s="2" t="str">
        <f>VLOOKUP(SUBSTITUTE(A21," ","_"),View!A$2:I$106,1,FALSE)</f>
        <v>EFFECTIVE_DATE</v>
      </c>
      <c r="T21" s="3" t="s">
        <v>57</v>
      </c>
      <c r="U21" s="5" t="s">
        <v>58</v>
      </c>
      <c r="V21" s="5" t="s">
        <v>98</v>
      </c>
      <c r="W21" s="5" t="s">
        <v>91</v>
      </c>
      <c r="X21" s="5" t="s">
        <v>48</v>
      </c>
      <c r="Y21" s="19"/>
      <c r="Z21" s="5"/>
    </row>
    <row r="22" spans="1:26" s="39" customFormat="1" ht="90">
      <c r="A22" s="21" t="s">
        <v>99</v>
      </c>
      <c r="B22" s="21"/>
      <c r="C22" s="21" t="s">
        <v>100</v>
      </c>
      <c r="D22" s="21" t="s">
        <v>101</v>
      </c>
      <c r="E22" s="21" t="s">
        <v>48</v>
      </c>
      <c r="F22" s="21" t="s">
        <v>102</v>
      </c>
      <c r="G22" s="21" t="s">
        <v>48</v>
      </c>
      <c r="H22" s="29" t="s">
        <v>103</v>
      </c>
      <c r="I22" s="21"/>
      <c r="J22" s="21"/>
      <c r="K22" s="21"/>
      <c r="L22" s="21"/>
      <c r="M22" s="2" t="b">
        <f>VLOOKUP(A22,Model!C$2:J$93,2,FALSE)=C22</f>
        <v>1</v>
      </c>
      <c r="N22" s="21"/>
      <c r="O22" s="2" t="b">
        <f>VLOOKUP(A22,Model!C$2:J$93,3,FALSE)=H22</f>
        <v>0</v>
      </c>
      <c r="P22" s="29" t="str">
        <f>VLOOKUP(A22,Model!C$2:J$93,3,FALSE)</f>
        <v>MAXIT Source: TAXLOT_DTL_OPN.AC_TP
RJT Source: TAX_LOT_OPN_MSTR.ACG_TP_CODE
Lookup on Accounting Type Dimension
Accounting type name (e.g., cash account,margin account)</v>
      </c>
      <c r="Q22" s="29">
        <f>VLOOKUP(A22,Model!C$2:J$93,8,FALSE)</f>
        <v>16</v>
      </c>
      <c r="R22" s="2" t="b">
        <f>VLOOKUP(C22,Table!A$2:F$98,1,FALSE)=C22</f>
        <v>1</v>
      </c>
      <c r="S22" s="2" t="str">
        <f>VLOOKUP(SUBSTITUTE(A22," ","_"),View!A$2:I$106,1,FALSE)</f>
        <v>ACCOUNTING_TYPE_NAME</v>
      </c>
      <c r="T22" s="3" t="s">
        <v>51</v>
      </c>
      <c r="U22" s="21" t="s">
        <v>104</v>
      </c>
      <c r="V22" s="21" t="s">
        <v>100</v>
      </c>
      <c r="W22" s="21" t="s">
        <v>101</v>
      </c>
      <c r="X22" s="21" t="s">
        <v>48</v>
      </c>
      <c r="Y22" s="38" t="s">
        <v>105</v>
      </c>
      <c r="Z22" s="24"/>
    </row>
    <row r="23" spans="1:26" ht="75">
      <c r="A23" s="21" t="s">
        <v>106</v>
      </c>
      <c r="B23" s="21"/>
      <c r="C23" s="5" t="s">
        <v>107</v>
      </c>
      <c r="D23" s="5" t="s">
        <v>91</v>
      </c>
      <c r="E23" s="5" t="s">
        <v>48</v>
      </c>
      <c r="F23" s="5" t="s">
        <v>92</v>
      </c>
      <c r="G23" s="5" t="s">
        <v>48</v>
      </c>
      <c r="H23" s="41" t="s">
        <v>108</v>
      </c>
      <c r="I23" s="5"/>
      <c r="J23" s="5"/>
      <c r="K23" s="5"/>
      <c r="L23" s="5"/>
      <c r="M23" s="2" t="b">
        <f>VLOOKUP(A23,Model!C$2:J$93,2,FALSE)=C23</f>
        <v>1</v>
      </c>
      <c r="N23" s="5"/>
      <c r="O23" s="2" t="b">
        <f>VLOOKUP(A23,Model!C$2:J$93,3,FALSE)=H23</f>
        <v>0</v>
      </c>
      <c r="P23" s="29" t="str">
        <f>VLOOKUP(A23,Model!C$2:J$93,3,FALSE)</f>
        <v xml:space="preserve">Date on which the lot was acquired_x000D_
MAXIT source: TAXLOT_DTL_OPN.ACQ_DT_x000D_
RJT Source:TAX_LOT_OPN_MSTR.TD_x000D_
_x000D_
</v>
      </c>
      <c r="Q23" s="29">
        <f>VLOOKUP(A23,Model!C$2:J$93,8,FALSE)</f>
        <v>19</v>
      </c>
      <c r="R23" s="2" t="b">
        <f>VLOOKUP(C23,Table!A$2:F$98,1,FALSE)=C23</f>
        <v>1</v>
      </c>
      <c r="S23" s="2" t="str">
        <f>VLOOKUP(SUBSTITUTE(A23," ","_"),View!A$2:I$106,1,FALSE)</f>
        <v>ACQUIRED_DATE</v>
      </c>
      <c r="T23" s="3" t="s">
        <v>57</v>
      </c>
      <c r="U23" s="5" t="s">
        <v>58</v>
      </c>
      <c r="V23" s="5" t="s">
        <v>107</v>
      </c>
      <c r="W23" s="5" t="s">
        <v>91</v>
      </c>
      <c r="X23" s="5" t="s">
        <v>48</v>
      </c>
      <c r="Y23" s="19"/>
      <c r="Z23" s="5"/>
    </row>
    <row r="24" spans="1:26" ht="61.5" customHeight="1">
      <c r="A24" s="21" t="s">
        <v>109</v>
      </c>
      <c r="B24" s="21"/>
      <c r="C24" s="5" t="s">
        <v>110</v>
      </c>
      <c r="D24" s="5" t="s">
        <v>111</v>
      </c>
      <c r="E24" s="5" t="s">
        <v>48</v>
      </c>
      <c r="F24" s="5" t="s">
        <v>112</v>
      </c>
      <c r="G24" s="5" t="s">
        <v>48</v>
      </c>
      <c r="H24" s="41" t="s">
        <v>113</v>
      </c>
      <c r="I24" s="5"/>
      <c r="J24" s="5"/>
      <c r="K24" s="5"/>
      <c r="L24" s="5"/>
      <c r="M24" s="2" t="b">
        <f>VLOOKUP(A24,Model!C$2:J$93,2,FALSE)=C24</f>
        <v>1</v>
      </c>
      <c r="N24" s="5"/>
      <c r="O24" s="2" t="b">
        <f>VLOOKUP(A24,Model!C$2:J$93,3,FALSE)=H24</f>
        <v>0</v>
      </c>
      <c r="P24" s="29" t="str">
        <f>VLOOKUP(A24,Model!C$2:J$93,3,FALSE)</f>
        <v xml:space="preserve">Adjusted cost for the Lot
MAXIT source: TAXLOT_DTL_OPN.ADJ_COST
RJT Source: TAX_LOT_OPN_ASOF	NML_CCY_ASOF_ADJ_COST_AMT
</v>
      </c>
      <c r="Q24" s="29">
        <f>VLOOKUP(A24,Model!C$2:J$93,8,FALSE)</f>
        <v>20</v>
      </c>
      <c r="R24" s="2" t="b">
        <f>VLOOKUP(C24,Table!A$2:F$98,1,FALSE)=C24</f>
        <v>1</v>
      </c>
      <c r="S24" s="2" t="str">
        <f>VLOOKUP(SUBSTITUTE(A24," ","_"),View!A$2:I$106,1,FALSE)</f>
        <v>ADJUSTED_COST</v>
      </c>
      <c r="T24" s="3" t="s">
        <v>57</v>
      </c>
      <c r="U24" s="5" t="s">
        <v>58</v>
      </c>
      <c r="V24" s="5" t="s">
        <v>114</v>
      </c>
      <c r="W24" s="5" t="s">
        <v>111</v>
      </c>
      <c r="X24" s="5" t="s">
        <v>48</v>
      </c>
      <c r="Y24" s="19" t="s">
        <v>115</v>
      </c>
      <c r="Z24" s="5"/>
    </row>
    <row r="25" spans="1:26" ht="60">
      <c r="A25" s="21" t="s">
        <v>116</v>
      </c>
      <c r="B25" s="21"/>
      <c r="C25" s="5" t="s">
        <v>117</v>
      </c>
      <c r="D25" s="5" t="s">
        <v>118</v>
      </c>
      <c r="E25" s="5" t="s">
        <v>48</v>
      </c>
      <c r="F25" s="5" t="s">
        <v>119</v>
      </c>
      <c r="G25" s="5" t="s">
        <v>48</v>
      </c>
      <c r="H25" s="41" t="s">
        <v>120</v>
      </c>
      <c r="I25" s="5"/>
      <c r="J25" s="5"/>
      <c r="K25" s="5"/>
      <c r="L25" s="5"/>
      <c r="M25" s="2" t="b">
        <f>VLOOKUP(A25,Model!C$2:J$93,2,FALSE)=C25</f>
        <v>1</v>
      </c>
      <c r="N25" s="5"/>
      <c r="O25" s="2" t="b">
        <f>VLOOKUP(A25,Model!C$2:J$93,3,FALSE)=H25</f>
        <v>0</v>
      </c>
      <c r="P25" s="29" t="str">
        <f>VLOOKUP(A25,Model!C$2:J$93,3,FALSE)</f>
        <v xml:space="preserve">MAXIT Source: TAXLOT_DTL_OPN.CCY_CODE
RJT Source: TAX_LOT_OPN_ASOF.NML_ISO_CCY_CODE
</v>
      </c>
      <c r="Q25" s="29">
        <f>VLOOKUP(A25,Model!C$2:J$93,8,FALSE)</f>
        <v>23</v>
      </c>
      <c r="R25" s="2" t="b">
        <f>VLOOKUP(C25,Table!A$2:F$98,1,FALSE)=C25</f>
        <v>1</v>
      </c>
      <c r="S25" s="2" t="str">
        <f>VLOOKUP(SUBSTITUTE(A25," ","_"),View!A$2:I$106,1,FALSE)</f>
        <v>CURRENCY_CODE</v>
      </c>
      <c r="T25" s="3" t="s">
        <v>57</v>
      </c>
      <c r="U25" s="5" t="s">
        <v>58</v>
      </c>
      <c r="V25" s="5" t="s">
        <v>121</v>
      </c>
      <c r="W25" s="5" t="s">
        <v>118</v>
      </c>
      <c r="X25" s="5" t="s">
        <v>48</v>
      </c>
      <c r="Y25" s="19"/>
      <c r="Z25" s="5"/>
    </row>
    <row r="26" spans="1:26" ht="45">
      <c r="A26" s="21" t="s">
        <v>122</v>
      </c>
      <c r="B26" s="21"/>
      <c r="C26" s="5" t="s">
        <v>123</v>
      </c>
      <c r="D26" s="5" t="s">
        <v>47</v>
      </c>
      <c r="E26" s="5" t="s">
        <v>48</v>
      </c>
      <c r="F26" s="5" t="s">
        <v>49</v>
      </c>
      <c r="G26" s="5" t="s">
        <v>48</v>
      </c>
      <c r="H26" s="41" t="s">
        <v>124</v>
      </c>
      <c r="I26" s="5"/>
      <c r="J26" s="5"/>
      <c r="K26" s="5"/>
      <c r="L26" s="5"/>
      <c r="M26" s="2" t="b">
        <f>VLOOKUP(A26,Model!C$2:J$93,2,FALSE)=C26</f>
        <v>1</v>
      </c>
      <c r="N26" s="5"/>
      <c r="O26" s="2" t="b">
        <f>VLOOKUP(A26,Model!C$2:J$93,3,FALSE)=H26</f>
        <v>0</v>
      </c>
      <c r="P26" s="29" t="str">
        <f>VLOOKUP(A26,Model!C$2:J$93,3,FALSE)</f>
        <v xml:space="preserve">MAXIT Source:TAXLOT_DTL_OPN.CTF_NUM
RJT Source: TAX_LOT_OPN_MSTR.TAX_LOT_CTF_NUM
</v>
      </c>
      <c r="Q26" s="29">
        <f>VLOOKUP(A26,Model!C$2:J$93,8,FALSE)</f>
        <v>24</v>
      </c>
      <c r="R26" s="2" t="b">
        <f>VLOOKUP(C26,Table!A$2:F$98,1,FALSE)=C26</f>
        <v>1</v>
      </c>
      <c r="S26" s="2" t="str">
        <f>VLOOKUP(SUBSTITUTE(A26," ","_"),View!A$2:I$106,1,FALSE)</f>
        <v>CERTIFICATE_NUMBER</v>
      </c>
      <c r="T26" s="3" t="s">
        <v>57</v>
      </c>
      <c r="U26" s="5" t="s">
        <v>58</v>
      </c>
      <c r="V26" s="5" t="s">
        <v>125</v>
      </c>
      <c r="W26" s="5" t="s">
        <v>47</v>
      </c>
      <c r="X26" s="5" t="s">
        <v>48</v>
      </c>
      <c r="Y26" s="19"/>
      <c r="Z26" s="5"/>
    </row>
    <row r="27" spans="1:26" ht="60">
      <c r="A27" s="21" t="s">
        <v>126</v>
      </c>
      <c r="B27" s="21"/>
      <c r="C27" s="5" t="s">
        <v>127</v>
      </c>
      <c r="D27" s="5" t="s">
        <v>47</v>
      </c>
      <c r="E27" s="5" t="s">
        <v>48</v>
      </c>
      <c r="F27" s="5" t="s">
        <v>49</v>
      </c>
      <c r="G27" s="5" t="s">
        <v>48</v>
      </c>
      <c r="H27" s="41" t="s">
        <v>128</v>
      </c>
      <c r="I27" s="5"/>
      <c r="J27" s="5"/>
      <c r="K27" s="5"/>
      <c r="L27" s="5"/>
      <c r="M27" s="2" t="b">
        <f>VLOOKUP(A27,Model!C$2:J$93,2,FALSE)=C27</f>
        <v>1</v>
      </c>
      <c r="N27" s="5"/>
      <c r="O27" s="2" t="b">
        <f>VLOOKUP(A27,Model!C$2:J$93,3,FALSE)=H27</f>
        <v>0</v>
      </c>
      <c r="P27" s="29" t="str">
        <f>VLOOKUP(A27,Model!C$2:J$93,3,FALSE)</f>
        <v xml:space="preserve">MAXIT Source:TAXLOT_DTL_OPN.CTF_NUM_PFX
RJT Source: TAX_LOT_OPN_MSTR.TAX_LOT_CTF_NUM_PFX
</v>
      </c>
      <c r="Q27" s="29">
        <f>VLOOKUP(A27,Model!C$2:J$93,8,FALSE)</f>
        <v>25</v>
      </c>
      <c r="R27" s="2" t="b">
        <f>VLOOKUP(C27,Table!A$2:F$98,1,FALSE)=C27</f>
        <v>1</v>
      </c>
      <c r="S27" s="2" t="str">
        <f>VLOOKUP(SUBSTITUTE(A27," ","_"),View!A$2:I$106,1,FALSE)</f>
        <v>CERTIFICATE_NUMBER_PREFIX</v>
      </c>
      <c r="T27" s="3" t="s">
        <v>57</v>
      </c>
      <c r="U27" s="5" t="s">
        <v>58</v>
      </c>
      <c r="V27" s="5" t="s">
        <v>129</v>
      </c>
      <c r="W27" s="5" t="s">
        <v>47</v>
      </c>
      <c r="X27" s="5" t="s">
        <v>48</v>
      </c>
      <c r="Y27" s="19"/>
      <c r="Z27" s="5"/>
    </row>
    <row r="28" spans="1:26" ht="109.5" customHeight="1">
      <c r="A28" s="21" t="s">
        <v>130</v>
      </c>
      <c r="B28" s="21"/>
      <c r="C28" s="5" t="s">
        <v>131</v>
      </c>
      <c r="D28" s="5" t="s">
        <v>71</v>
      </c>
      <c r="E28" s="5" t="s">
        <v>48</v>
      </c>
      <c r="F28" s="5" t="s">
        <v>72</v>
      </c>
      <c r="G28" s="5" t="s">
        <v>48</v>
      </c>
      <c r="H28" s="27" t="s">
        <v>132</v>
      </c>
      <c r="I28" s="5"/>
      <c r="J28" s="5"/>
      <c r="K28" s="5"/>
      <c r="L28" s="5"/>
      <c r="M28" s="2" t="b">
        <f>VLOOKUP(A28,Model!C$2:J$93,2,FALSE)=C28</f>
        <v>1</v>
      </c>
      <c r="N28" s="5"/>
      <c r="O28" s="2" t="b">
        <f>VLOOKUP(A28,Model!C$2:J$93,3,FALSE)=H28</f>
        <v>0</v>
      </c>
      <c r="P28" s="29" t="str">
        <f>VLOOKUP(A28,Model!C$2:J$93,3,FALSE)</f>
        <v xml:space="preserve">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
</v>
      </c>
      <c r="Q28" s="29">
        <f>VLOOKUP(A28,Model!C$2:J$93,8,FALSE)</f>
        <v>26</v>
      </c>
      <c r="R28" s="2" t="b">
        <f>VLOOKUP(C28,Table!A$2:F$98,1,FALSE)=C28</f>
        <v>1</v>
      </c>
      <c r="S28" s="2" t="str">
        <f>VLOOKUP(SUBSTITUTE(A28," ","_"),View!A$2:I$106,1,FALSE)</f>
        <v>COST_BASIS_LEGISLATION_COVERAGE_CODE</v>
      </c>
      <c r="T28" s="3" t="s">
        <v>57</v>
      </c>
      <c r="U28" s="5" t="s">
        <v>58</v>
      </c>
      <c r="V28" s="5" t="s">
        <v>133</v>
      </c>
      <c r="W28" s="5" t="s">
        <v>71</v>
      </c>
      <c r="X28" s="5" t="s">
        <v>48</v>
      </c>
      <c r="Y28" s="19"/>
      <c r="Z28" s="5"/>
    </row>
    <row r="29" spans="1:26" ht="90">
      <c r="A29" s="21" t="s">
        <v>134</v>
      </c>
      <c r="B29" s="21"/>
      <c r="C29" s="5" t="s">
        <v>135</v>
      </c>
      <c r="D29" s="5" t="s">
        <v>111</v>
      </c>
      <c r="E29" s="5" t="s">
        <v>48</v>
      </c>
      <c r="F29" s="5" t="s">
        <v>112</v>
      </c>
      <c r="G29" s="5" t="s">
        <v>48</v>
      </c>
      <c r="H29" s="43" t="s">
        <v>136</v>
      </c>
      <c r="I29" s="5"/>
      <c r="J29" s="5"/>
      <c r="K29" s="5"/>
      <c r="L29" s="5"/>
      <c r="M29" s="2" t="b">
        <f>VLOOKUP(A29,Model!C$2:J$93,2,FALSE)=C29</f>
        <v>1</v>
      </c>
      <c r="N29" s="5"/>
      <c r="O29" s="2" t="b">
        <f>VLOOKUP(A29,Model!C$2:J$93,3,FALSE)=H29</f>
        <v>0</v>
      </c>
      <c r="P29" s="29" t="str">
        <f>VLOOKUP(A29,Model!C$2:J$93,3,FALSE)</f>
        <v xml:space="preserve">MAXIT Source: TAXLOT_DTL_OPN.DISALWD_WASHSALE_AMT
RJT Source: TAX_LOT_OPN_MSTR.NML_CCY_WASH_SALE_AMT
</v>
      </c>
      <c r="Q29" s="29">
        <f>VLOOKUP(A29,Model!C$2:J$93,8,FALSE)</f>
        <v>27</v>
      </c>
      <c r="R29" s="2" t="b">
        <f>VLOOKUP(C29,Table!A$2:F$98,1,FALSE)=C29</f>
        <v>1</v>
      </c>
      <c r="S29" s="2" t="str">
        <f>VLOOKUP(SUBSTITUTE(A29," ","_"),View!A$2:I$106,1,FALSE)</f>
        <v>DISALLOWED_WASH_SALE_AMOUNT</v>
      </c>
      <c r="T29" s="3" t="s">
        <v>57</v>
      </c>
      <c r="U29" s="5" t="s">
        <v>58</v>
      </c>
      <c r="V29" s="5" t="s">
        <v>137</v>
      </c>
      <c r="W29" s="5" t="s">
        <v>111</v>
      </c>
      <c r="X29" s="5" t="s">
        <v>48</v>
      </c>
      <c r="Y29" s="19"/>
      <c r="Z29" s="5"/>
    </row>
    <row r="30" spans="1:26" ht="120">
      <c r="A30" s="21" t="s">
        <v>138</v>
      </c>
      <c r="B30" s="21"/>
      <c r="C30" s="5" t="s">
        <v>139</v>
      </c>
      <c r="D30" s="5" t="s">
        <v>111</v>
      </c>
      <c r="E30" s="5" t="s">
        <v>48</v>
      </c>
      <c r="F30" s="5" t="s">
        <v>112</v>
      </c>
      <c r="G30" s="5" t="s">
        <v>48</v>
      </c>
      <c r="H30" s="41" t="s">
        <v>140</v>
      </c>
      <c r="I30" s="5"/>
      <c r="J30" s="5"/>
      <c r="K30" s="5"/>
      <c r="L30" s="5"/>
      <c r="M30" s="2" t="b">
        <f>VLOOKUP(A30,Model!C$2:J$93,2,FALSE)=C30</f>
        <v>1</v>
      </c>
      <c r="N30" s="5"/>
      <c r="O30" s="2" t="b">
        <f>VLOOKUP(A30,Model!C$2:J$93,3,FALSE)=H30</f>
        <v>0</v>
      </c>
      <c r="P30" s="29" t="str">
        <f>VLOOKUP(A30,Model!C$2:J$93,3,FALSE)</f>
        <v xml:space="preserve">
MAXIT Source: TAXLOT_DTL_OPN.EXG_RATE
RJT Source: TAX_LOT_OPN_ASOF.SBC_EXG_RATE
</v>
      </c>
      <c r="Q30" s="29">
        <f>VLOOKUP(A30,Model!C$2:J$93,8,FALSE)</f>
        <v>28</v>
      </c>
      <c r="R30" s="2" t="b">
        <f>VLOOKUP(C30,Table!A$2:F$98,1,FALSE)=C30</f>
        <v>1</v>
      </c>
      <c r="S30" s="2" t="str">
        <f>VLOOKUP(SUBSTITUTE(A30," ","_"),View!A$2:I$106,1,FALSE)</f>
        <v>EXCHANGE_RATE</v>
      </c>
      <c r="T30" s="3" t="s">
        <v>57</v>
      </c>
      <c r="U30" s="5" t="s">
        <v>58</v>
      </c>
      <c r="V30" s="5" t="s">
        <v>141</v>
      </c>
      <c r="W30" s="5" t="s">
        <v>111</v>
      </c>
      <c r="X30" s="5" t="s">
        <v>48</v>
      </c>
      <c r="Y30" s="19"/>
      <c r="Z30" s="5"/>
    </row>
    <row r="31" spans="1:26" ht="65.25" customHeight="1">
      <c r="A31" s="21" t="s">
        <v>142</v>
      </c>
      <c r="B31" s="21"/>
      <c r="C31" s="5" t="s">
        <v>143</v>
      </c>
      <c r="D31" s="5" t="s">
        <v>111</v>
      </c>
      <c r="E31" s="5" t="s">
        <v>48</v>
      </c>
      <c r="F31" s="5" t="s">
        <v>112</v>
      </c>
      <c r="G31" s="5" t="s">
        <v>48</v>
      </c>
      <c r="H31" s="41" t="s">
        <v>144</v>
      </c>
      <c r="I31" s="5"/>
      <c r="J31" s="5"/>
      <c r="K31" s="5"/>
      <c r="L31" s="5"/>
      <c r="M31" s="2" t="b">
        <f>VLOOKUP(A31,Model!C$2:J$93,2,FALSE)=C31</f>
        <v>1</v>
      </c>
      <c r="N31" s="5"/>
      <c r="O31" s="2" t="b">
        <f>VLOOKUP(A31,Model!C$2:J$93,3,FALSE)=H31</f>
        <v>0</v>
      </c>
      <c r="P31" s="29" t="str">
        <f>VLOOKUP(A31,Model!C$2:J$93,3,FALSE)</f>
        <v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v>
      </c>
      <c r="Q31" s="29">
        <f>VLOOKUP(A31,Model!C$2:J$93,8,FALSE)</f>
        <v>29</v>
      </c>
      <c r="R31" s="2" t="b">
        <f>VLOOKUP(C31,Table!A$2:F$98,1,FALSE)=C31</f>
        <v>1</v>
      </c>
      <c r="S31" s="2" t="str">
        <f>VLOOKUP(SUBSTITUTE(A31," ","_"),View!A$2:I$106,1,FALSE)</f>
        <v>FAIR_MARKET_VALUE_OF_GIFT_OR_INHERITANCE</v>
      </c>
      <c r="T31" s="3" t="s">
        <v>57</v>
      </c>
      <c r="U31" s="5" t="s">
        <v>58</v>
      </c>
      <c r="V31" s="5" t="s">
        <v>145</v>
      </c>
      <c r="W31" s="5" t="s">
        <v>111</v>
      </c>
      <c r="X31" s="5" t="s">
        <v>48</v>
      </c>
      <c r="Y31" s="19" t="s">
        <v>146</v>
      </c>
      <c r="Z31" s="5"/>
    </row>
    <row r="32" spans="1:26" ht="105">
      <c r="A32" s="21" t="s">
        <v>147</v>
      </c>
      <c r="B32" s="21"/>
      <c r="C32" s="5" t="s">
        <v>148</v>
      </c>
      <c r="D32" s="5" t="s">
        <v>91</v>
      </c>
      <c r="E32" s="5" t="s">
        <v>48</v>
      </c>
      <c r="F32" s="5" t="s">
        <v>92</v>
      </c>
      <c r="G32" s="5" t="s">
        <v>48</v>
      </c>
      <c r="H32" s="41" t="s">
        <v>149</v>
      </c>
      <c r="I32" s="5"/>
      <c r="J32" s="5"/>
      <c r="K32" s="5"/>
      <c r="L32" s="5"/>
      <c r="M32" s="2" t="b">
        <f>VLOOKUP(A32,Model!C$2:J$93,2,FALSE)=C32</f>
        <v>1</v>
      </c>
      <c r="N32" s="5"/>
      <c r="O32" s="2" t="b">
        <f>VLOOKUP(A32,Model!C$2:J$93,3,FALSE)=H32</f>
        <v>0</v>
      </c>
      <c r="P32" s="29" t="str">
        <f>VLOOKUP(A32,Model!C$2:J$93,3,FALSE)</f>
        <v xml:space="preserve">MAXIT Source: TAXLOT_DTL_OPN.GIFT_DT
RJT Source: TAX_LOT_OPN_MSTR.GIFT_DT
For gifted tax lots this gives date of gift.
Source: GIFT_DT
</v>
      </c>
      <c r="Q32" s="29">
        <f>VLOOKUP(A32,Model!C$2:J$93,8,FALSE)</f>
        <v>30</v>
      </c>
      <c r="R32" s="2" t="b">
        <f>VLOOKUP(C32,Table!A$2:F$98,1,FALSE)=C32</f>
        <v>1</v>
      </c>
      <c r="S32" s="2" t="str">
        <f>VLOOKUP(SUBSTITUTE(A32," ","_"),View!A$2:I$106,1,FALSE)</f>
        <v>GIFT_DATE</v>
      </c>
      <c r="T32" s="3" t="s">
        <v>57</v>
      </c>
      <c r="U32" s="5" t="s">
        <v>58</v>
      </c>
      <c r="V32" s="5" t="s">
        <v>148</v>
      </c>
      <c r="W32" s="5" t="s">
        <v>91</v>
      </c>
      <c r="X32" s="5" t="s">
        <v>48</v>
      </c>
      <c r="Y32" s="19"/>
      <c r="Z32" s="5"/>
    </row>
    <row r="33" spans="1:26" ht="88.5" customHeight="1">
      <c r="A33" s="21" t="s">
        <v>150</v>
      </c>
      <c r="B33" s="21"/>
      <c r="C33" s="5" t="s">
        <v>151</v>
      </c>
      <c r="D33" s="5" t="s">
        <v>91</v>
      </c>
      <c r="E33" s="5" t="s">
        <v>48</v>
      </c>
      <c r="F33" s="5" t="s">
        <v>92</v>
      </c>
      <c r="G33" s="5" t="s">
        <v>48</v>
      </c>
      <c r="H33" s="27" t="s">
        <v>152</v>
      </c>
      <c r="I33" s="5"/>
      <c r="J33" s="5"/>
      <c r="K33" s="5"/>
      <c r="L33" s="5"/>
      <c r="M33" s="2" t="b">
        <f>VLOOKUP(A33,Model!C$2:J$93,2,FALSE)=C33</f>
        <v>1</v>
      </c>
      <c r="N33" s="5"/>
      <c r="O33" s="2" t="b">
        <f>VLOOKUP(A33,Model!C$2:J$93,3,FALSE)=H33</f>
        <v>0</v>
      </c>
      <c r="P33" s="29" t="str">
        <f>VLOOKUP(A33,Model!C$2:J$93,3,FALSE)</f>
        <v xml:space="preserve">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
</v>
      </c>
      <c r="Q33" s="29">
        <f>VLOOKUP(A33,Model!C$2:J$93,8,FALSE)</f>
        <v>31</v>
      </c>
      <c r="R33" s="2" t="b">
        <f>VLOOKUP(C33,Table!A$2:F$98,1,FALSE)=C33</f>
        <v>1</v>
      </c>
      <c r="S33" s="2" t="str">
        <f>VLOOKUP(SUBSTITUTE(A33," ","_"),View!A$2:I$106,1,FALSE)</f>
        <v>POSITION_INCEPTION_DATE</v>
      </c>
      <c r="T33" s="3" t="s">
        <v>57</v>
      </c>
      <c r="U33" s="5" t="s">
        <v>58</v>
      </c>
      <c r="V33" s="5" t="s">
        <v>151</v>
      </c>
      <c r="W33" s="5" t="s">
        <v>91</v>
      </c>
      <c r="X33" s="5" t="s">
        <v>48</v>
      </c>
      <c r="Y33" s="19"/>
      <c r="Z33" s="5"/>
    </row>
    <row r="34" spans="1:26" ht="115.5" customHeight="1">
      <c r="A34" s="21" t="s">
        <v>153</v>
      </c>
      <c r="B34" s="21"/>
      <c r="C34" s="5" t="s">
        <v>154</v>
      </c>
      <c r="D34" s="5" t="s">
        <v>71</v>
      </c>
      <c r="E34" s="5" t="s">
        <v>48</v>
      </c>
      <c r="F34" s="5" t="s">
        <v>72</v>
      </c>
      <c r="G34" s="5" t="s">
        <v>48</v>
      </c>
      <c r="H34" s="27" t="s">
        <v>155</v>
      </c>
      <c r="I34" s="5"/>
      <c r="J34" s="5"/>
      <c r="K34" s="5"/>
      <c r="L34" s="5"/>
      <c r="M34" s="2" t="b">
        <f>VLOOKUP(A34,Model!C$2:J$93,2,FALSE)=C34</f>
        <v>1</v>
      </c>
      <c r="N34" s="5"/>
      <c r="O34" s="2" t="b">
        <f>VLOOKUP(A34,Model!C$2:J$93,3,FALSE)=H34</f>
        <v>0</v>
      </c>
      <c r="P34" s="29" t="str">
        <f>VLOOKUP(A34,Model!C$2:J$93,3,FALSE)</f>
        <v xml:space="preserve">A value that represents the tax lot being a long or short position.
Valid Values:
L = Long
S = Short
MAXIT Source: TAXLOT_DTL_OPN.LONG_SHRT_POS
rjt sOURCE: TAX_LOT_OPN_MSTR.POS_LONG_SHRT_CODE
</v>
      </c>
      <c r="Q34" s="29">
        <f>VLOOKUP(A34,Model!C$2:J$93,8,FALSE)</f>
        <v>32</v>
      </c>
      <c r="R34" s="2" t="b">
        <f>VLOOKUP(C34,Table!A$2:F$98,1,FALSE)=C34</f>
        <v>1</v>
      </c>
      <c r="S34" s="2" t="str">
        <f>VLOOKUP(SUBSTITUTE(A34," ","_"),View!A$2:I$106,1,FALSE)</f>
        <v>LONG_SHORT_POSITION_CODE</v>
      </c>
      <c r="T34" s="3" t="s">
        <v>57</v>
      </c>
      <c r="U34" s="5" t="s">
        <v>58</v>
      </c>
      <c r="V34" s="5" t="s">
        <v>156</v>
      </c>
      <c r="W34" s="5" t="s">
        <v>71</v>
      </c>
      <c r="X34" s="5" t="s">
        <v>48</v>
      </c>
      <c r="Y34" s="19"/>
      <c r="Z34" s="5"/>
    </row>
    <row r="35" spans="1:26" ht="89.25" customHeight="1">
      <c r="A35" s="21" t="s">
        <v>157</v>
      </c>
      <c r="B35" s="21"/>
      <c r="C35" s="5" t="s">
        <v>158</v>
      </c>
      <c r="D35" s="5" t="s">
        <v>71</v>
      </c>
      <c r="E35" s="5" t="s">
        <v>48</v>
      </c>
      <c r="F35" s="5" t="s">
        <v>72</v>
      </c>
      <c r="G35" s="5" t="s">
        <v>48</v>
      </c>
      <c r="H35" s="42" t="s">
        <v>159</v>
      </c>
      <c r="I35" s="5"/>
      <c r="J35" s="5"/>
      <c r="K35" s="5"/>
      <c r="L35" s="5"/>
      <c r="M35" s="2" t="b">
        <f>VLOOKUP(A35,Model!C$2:J$93,2,FALSE)=C35</f>
        <v>1</v>
      </c>
      <c r="N35" s="5"/>
      <c r="O35" s="2" t="b">
        <f>VLOOKUP(A35,Model!C$2:J$93,3,FALSE)=H35</f>
        <v>0</v>
      </c>
      <c r="P35" s="29" t="str">
        <f>VLOOKUP(A35,Model!C$2:J$93,3,FALSE)</f>
        <v xml:space="preserve">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
</v>
      </c>
      <c r="Q35" s="29">
        <f>VLOOKUP(A35,Model!C$2:J$93,8,FALSE)</f>
        <v>33</v>
      </c>
      <c r="R35" s="2" t="b">
        <f>VLOOKUP(C35,Table!A$2:F$98,1,FALSE)=C35</f>
        <v>1</v>
      </c>
      <c r="S35" s="2" t="str">
        <f>VLOOKUP(SUBSTITUTE(A35," ","_"),View!A$2:I$106,1,FALSE)</f>
        <v>LOSS_NOT_ALLOWED_FLAG</v>
      </c>
      <c r="T35" s="3"/>
      <c r="U35" s="5"/>
      <c r="V35" s="5" t="s">
        <v>160</v>
      </c>
      <c r="W35" s="5" t="s">
        <v>71</v>
      </c>
      <c r="X35" s="5" t="s">
        <v>48</v>
      </c>
      <c r="Y35" s="19"/>
      <c r="Z35" s="5"/>
    </row>
    <row r="36" spans="1:26" ht="75">
      <c r="A36" s="21" t="s">
        <v>161</v>
      </c>
      <c r="B36" s="21"/>
      <c r="C36" s="5" t="s">
        <v>162</v>
      </c>
      <c r="D36" s="5" t="s">
        <v>111</v>
      </c>
      <c r="E36" s="5" t="s">
        <v>48</v>
      </c>
      <c r="F36" s="5" t="s">
        <v>112</v>
      </c>
      <c r="G36" s="5" t="s">
        <v>48</v>
      </c>
      <c r="H36" s="27" t="s">
        <v>163</v>
      </c>
      <c r="I36" s="5"/>
      <c r="J36" s="5"/>
      <c r="K36" s="5"/>
      <c r="L36" s="5"/>
      <c r="M36" s="2" t="b">
        <f>VLOOKUP(A36,Model!C$2:J$93,2,FALSE)=C36</f>
        <v>1</v>
      </c>
      <c r="N36" s="5"/>
      <c r="O36" s="2" t="b">
        <f>VLOOKUP(A36,Model!C$2:J$93,3,FALSE)=H36</f>
        <v>0</v>
      </c>
      <c r="P36" s="29" t="str">
        <f>VLOOKUP(A36,Model!C$2:J$93,3,FALSE)</f>
        <v>Life to date market discount amount_x000D_
_x000D_
Total market discount accrued since the purchase of the bond_x000D_
_x000D_
MAXIT Source: TAXLOT_DTL_OPN.LTD_MKT_DISCOUNT</v>
      </c>
      <c r="Q36" s="29">
        <f>VLOOKUP(A36,Model!C$2:J$93,8,FALSE)</f>
        <v>34</v>
      </c>
      <c r="R36" s="2" t="b">
        <f>VLOOKUP(C36,Table!A$2:F$98,1,FALSE)=C36</f>
        <v>1</v>
      </c>
      <c r="S36" s="2" t="str">
        <f>VLOOKUP(SUBSTITUTE(A36," ","_"),View!A$2:I$106,1,FALSE)</f>
        <v>LIFE_TO_DATE_MARKET_DISCOUNT</v>
      </c>
      <c r="T36" s="3"/>
      <c r="U36" s="5"/>
      <c r="V36" s="5" t="s">
        <v>160</v>
      </c>
      <c r="W36" s="5" t="s">
        <v>111</v>
      </c>
      <c r="X36" s="5" t="s">
        <v>48</v>
      </c>
      <c r="Y36" s="19"/>
      <c r="Z36" s="5"/>
    </row>
    <row r="37" spans="1:26" ht="75">
      <c r="A37" s="21" t="s">
        <v>164</v>
      </c>
      <c r="B37" s="21"/>
      <c r="C37" s="5" t="s">
        <v>165</v>
      </c>
      <c r="D37" s="5" t="s">
        <v>71</v>
      </c>
      <c r="E37" s="5" t="s">
        <v>48</v>
      </c>
      <c r="F37" s="5" t="s">
        <v>72</v>
      </c>
      <c r="G37" s="5" t="s">
        <v>48</v>
      </c>
      <c r="H37" s="27" t="s">
        <v>166</v>
      </c>
      <c r="I37" s="5"/>
      <c r="J37" s="5"/>
      <c r="K37" s="5"/>
      <c r="L37" s="5"/>
      <c r="M37" s="2" t="b">
        <f>VLOOKUP(A37,Model!C$2:J$93,2,FALSE)=C37</f>
        <v>1</v>
      </c>
      <c r="N37" s="5"/>
      <c r="O37" s="2" t="b">
        <f>VLOOKUP(A37,Model!C$2:J$93,3,FALSE)=H37</f>
        <v>0</v>
      </c>
      <c r="P37" s="29" t="str">
        <f>VLOOKUP(A37,Model!C$2:J$93,3,FALSE)</f>
        <v xml:space="preserve">Indicates that Cost basis is not available for this position
MAXIT Source: TAXLOT_DTL_OPN.MISS_COST_F
RJT Source: TAX_LOT_OPN_MSTR.MISS_COST_F
</v>
      </c>
      <c r="Q37" s="29">
        <f>VLOOKUP(A37,Model!C$2:J$93,8,FALSE)</f>
        <v>35</v>
      </c>
      <c r="R37" s="2" t="b">
        <f>VLOOKUP(C37,Table!A$2:F$98,1,FALSE)=C37</f>
        <v>1</v>
      </c>
      <c r="S37" s="2" t="str">
        <f>VLOOKUP(SUBSTITUTE(A37," ","_"),View!A$2:I$106,1,FALSE)</f>
        <v>MISSING_COST_BASIS_FLAG</v>
      </c>
      <c r="T37" s="3" t="s">
        <v>57</v>
      </c>
      <c r="U37" s="5" t="s">
        <v>58</v>
      </c>
      <c r="V37" t="s">
        <v>167</v>
      </c>
      <c r="W37" s="5" t="s">
        <v>71</v>
      </c>
      <c r="X37" s="5" t="s">
        <v>48</v>
      </c>
      <c r="Y37" s="46" t="s">
        <v>168</v>
      </c>
      <c r="Z37" s="47"/>
    </row>
    <row r="38" spans="1:26" ht="180">
      <c r="A38" s="21" t="s">
        <v>169</v>
      </c>
      <c r="B38" s="21"/>
      <c r="C38" s="5" t="s">
        <v>170</v>
      </c>
      <c r="D38" s="5" t="s">
        <v>71</v>
      </c>
      <c r="E38" s="5" t="s">
        <v>48</v>
      </c>
      <c r="F38" s="5" t="s">
        <v>72</v>
      </c>
      <c r="G38" s="5" t="s">
        <v>48</v>
      </c>
      <c r="H38" s="41" t="s">
        <v>171</v>
      </c>
      <c r="I38" s="5"/>
      <c r="J38" s="5"/>
      <c r="K38" s="5"/>
      <c r="L38" s="5"/>
      <c r="M38" s="2" t="b">
        <f>VLOOKUP(A38,Model!C$2:J$93,2,FALSE)=C38</f>
        <v>1</v>
      </c>
      <c r="N38" s="5"/>
      <c r="O38" s="2" t="b">
        <f>VLOOKUP(A38,Model!C$2:J$93,3,FALSE)=H38</f>
        <v>0</v>
      </c>
      <c r="P38" s="29" t="str">
        <f>VLOOKUP(A38,Model!C$2:J$93,3,FALSE)</f>
        <v xml:space="preserve">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
</v>
      </c>
      <c r="Q38" s="29">
        <f>VLOOKUP(A38,Model!C$2:J$93,8,FALSE)</f>
        <v>36</v>
      </c>
      <c r="R38" s="2" t="b">
        <f>VLOOKUP(C38,Table!A$2:F$98,1,FALSE)=C38</f>
        <v>1</v>
      </c>
      <c r="S38" s="2" t="str">
        <f>VLOOKUP(SUBSTITUTE(A38," ","_"),View!A$2:I$106,1,FALSE)</f>
        <v>ADJUSTED_COST_NOT_ACCURATE_FLAG</v>
      </c>
      <c r="T38" s="3" t="s">
        <v>57</v>
      </c>
      <c r="U38" s="5" t="s">
        <v>58</v>
      </c>
      <c r="V38" s="5" t="s">
        <v>172</v>
      </c>
      <c r="W38" s="5" t="s">
        <v>71</v>
      </c>
      <c r="X38" s="5" t="s">
        <v>48</v>
      </c>
      <c r="Y38" s="19"/>
      <c r="Z38" s="5"/>
    </row>
    <row r="39" spans="1:26" ht="84" customHeight="1">
      <c r="A39" s="21" t="s">
        <v>173</v>
      </c>
      <c r="B39" s="21"/>
      <c r="C39" s="5" t="s">
        <v>174</v>
      </c>
      <c r="D39" s="5" t="s">
        <v>111</v>
      </c>
      <c r="E39" s="5" t="s">
        <v>48</v>
      </c>
      <c r="F39" s="5" t="s">
        <v>112</v>
      </c>
      <c r="G39" s="5" t="s">
        <v>48</v>
      </c>
      <c r="H39" s="27" t="s">
        <v>175</v>
      </c>
      <c r="I39" s="5"/>
      <c r="J39" s="5"/>
      <c r="K39" s="5"/>
      <c r="L39" s="5"/>
      <c r="M39" s="2" t="b">
        <f>VLOOKUP(A39,Model!C$2:J$93,2,FALSE)=C39</f>
        <v>1</v>
      </c>
      <c r="N39" s="5"/>
      <c r="O39" s="2" t="b">
        <f>VLOOKUP(A39,Model!C$2:J$93,3,FALSE)=H39</f>
        <v>0</v>
      </c>
      <c r="P39" s="29" t="str">
        <f>VLOOKUP(A39,Model!C$2:J$93,3,FALSE)</f>
        <v xml:space="preserve">Price_factor of opening transaction
Used for factored bonds
MAXIT Source: TAXLOT_DTL_OPN.OPN_FCTR
RJT Source: TAX_LOT_OPN_MSTR.NML_CCY_OPN_PRC_FCTR
</v>
      </c>
      <c r="Q39" s="29">
        <f>VLOOKUP(A39,Model!C$2:J$93,8,FALSE)</f>
        <v>37</v>
      </c>
      <c r="R39" s="2" t="b">
        <f>VLOOKUP(C39,Table!A$2:F$98,1,FALSE)=C39</f>
        <v>1</v>
      </c>
      <c r="S39" s="2" t="str">
        <f>VLOOKUP(SUBSTITUTE(A39," ","_"),View!A$2:I$106,1,FALSE)</f>
        <v>OPEN_PRICE_FACTOR</v>
      </c>
      <c r="T39" s="3" t="s">
        <v>57</v>
      </c>
      <c r="U39" s="5" t="s">
        <v>58</v>
      </c>
      <c r="V39" s="5" t="s">
        <v>176</v>
      </c>
      <c r="W39" s="5" t="s">
        <v>111</v>
      </c>
      <c r="X39" s="5" t="s">
        <v>48</v>
      </c>
      <c r="Y39" s="19" t="s">
        <v>177</v>
      </c>
      <c r="Z39" s="5"/>
    </row>
    <row r="40" spans="1:26" ht="126.75" customHeight="1">
      <c r="A40" s="21" t="s">
        <v>178</v>
      </c>
      <c r="B40" s="21"/>
      <c r="C40" s="5" t="s">
        <v>179</v>
      </c>
      <c r="D40" s="5" t="s">
        <v>47</v>
      </c>
      <c r="E40" s="5" t="s">
        <v>48</v>
      </c>
      <c r="F40" s="5" t="s">
        <v>49</v>
      </c>
      <c r="G40" s="5" t="s">
        <v>48</v>
      </c>
      <c r="H40" s="27" t="s">
        <v>180</v>
      </c>
      <c r="I40" s="5"/>
      <c r="J40" s="5"/>
      <c r="K40" s="5"/>
      <c r="L40" s="5"/>
      <c r="M40" s="2" t="b">
        <f>VLOOKUP(A40,Model!C$2:J$93,2,FALSE)=C40</f>
        <v>1</v>
      </c>
      <c r="N40" s="5"/>
      <c r="O40" s="2" t="b">
        <f>VLOOKUP(A40,Model!C$2:J$93,3,FALSE)=H40</f>
        <v>0</v>
      </c>
      <c r="P40" s="29" t="str">
        <f>VLOOKUP(A40,Model!C$2:J$93,3,FALSE)</f>
        <v xml:space="preserve">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
"
</v>
      </c>
      <c r="Q40" s="29">
        <f>VLOOKUP(A40,Model!C$2:J$93,8,FALSE)</f>
        <v>38</v>
      </c>
      <c r="R40" s="2" t="b">
        <f>VLOOKUP(C40,Table!A$2:F$98,1,FALSE)=C40</f>
        <v>1</v>
      </c>
      <c r="S40" s="2" t="str">
        <f>VLOOKUP(SUBSTITUTE(A40," ","_"),View!A$2:I$106,1,FALSE)</f>
        <v>OPEN_TRANSACTION_EVENT_TYPE</v>
      </c>
      <c r="T40" s="44" t="s">
        <v>63</v>
      </c>
      <c r="U40" s="45" t="s">
        <v>181</v>
      </c>
      <c r="V40" s="5" t="s">
        <v>182</v>
      </c>
      <c r="W40" s="5" t="s">
        <v>47</v>
      </c>
      <c r="X40" s="5" t="s">
        <v>48</v>
      </c>
      <c r="Y40" s="40" t="s">
        <v>183</v>
      </c>
      <c r="Z40" s="5"/>
    </row>
    <row r="41" spans="1:26" ht="186.75" customHeight="1">
      <c r="A41" s="21" t="s">
        <v>184</v>
      </c>
      <c r="B41" s="21"/>
      <c r="C41" s="5" t="s">
        <v>185</v>
      </c>
      <c r="D41" s="5" t="s">
        <v>111</v>
      </c>
      <c r="E41" s="5" t="s">
        <v>48</v>
      </c>
      <c r="F41" s="5" t="s">
        <v>112</v>
      </c>
      <c r="G41" s="5" t="s">
        <v>48</v>
      </c>
      <c r="H41" s="27" t="s">
        <v>186</v>
      </c>
      <c r="I41" s="5"/>
      <c r="J41" s="5"/>
      <c r="K41" s="5"/>
      <c r="L41" s="5"/>
      <c r="M41" s="2" t="b">
        <f>VLOOKUP(A41,Model!C$2:J$93,2,FALSE)=C41</f>
        <v>1</v>
      </c>
      <c r="N41" s="5"/>
      <c r="O41" s="2" t="b">
        <f>VLOOKUP(A41,Model!C$2:J$93,3,FALSE)=H41</f>
        <v>0</v>
      </c>
      <c r="P41" s="29" t="str">
        <f>VLOOKUP(A41,Model!C$2:J$93,3,FALSE)</f>
        <v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v>
      </c>
      <c r="Q41" s="29">
        <f>VLOOKUP(A41,Model!C$2:J$93,8,FALSE)</f>
        <v>39</v>
      </c>
      <c r="R41" s="2" t="b">
        <f>VLOOKUP(C41,Table!A$2:F$98,1,FALSE)=C41</f>
        <v>1</v>
      </c>
      <c r="S41" s="2" t="str">
        <f>VLOOKUP(SUBSTITUTE(A41," ","_"),View!A$2:I$106,1,FALSE)</f>
        <v>COST_AMOUNT</v>
      </c>
      <c r="T41" s="3" t="s">
        <v>57</v>
      </c>
      <c r="U41" s="5" t="s">
        <v>58</v>
      </c>
      <c r="V41" s="5" t="s">
        <v>187</v>
      </c>
      <c r="W41" s="5" t="s">
        <v>111</v>
      </c>
      <c r="X41" s="5" t="s">
        <v>48</v>
      </c>
      <c r="Y41" s="19" t="s">
        <v>188</v>
      </c>
      <c r="Z41" s="5"/>
    </row>
    <row r="42" spans="1:26" ht="138" customHeight="1">
      <c r="A42" s="21" t="s">
        <v>189</v>
      </c>
      <c r="B42" s="21"/>
      <c r="C42" s="5" t="s">
        <v>190</v>
      </c>
      <c r="D42" s="5" t="s">
        <v>191</v>
      </c>
      <c r="E42" s="5" t="s">
        <v>48</v>
      </c>
      <c r="F42" s="5" t="s">
        <v>192</v>
      </c>
      <c r="G42" s="5" t="s">
        <v>48</v>
      </c>
      <c r="H42" s="27" t="s">
        <v>193</v>
      </c>
      <c r="I42" s="5"/>
      <c r="J42" s="5"/>
      <c r="K42" s="5"/>
      <c r="L42" s="5"/>
      <c r="M42" s="2" t="b">
        <f>VLOOKUP(A42,Model!C$2:J$93,2,FALSE)=C42</f>
        <v>1</v>
      </c>
      <c r="N42" s="5"/>
      <c r="O42" s="2" t="b">
        <f>VLOOKUP(A42,Model!C$2:J$93,3,FALSE)=H42</f>
        <v>0</v>
      </c>
      <c r="P42" s="29" t="str">
        <f>VLOOKUP(A42,Model!C$2:J$93,3,FALSE)</f>
        <v xml:space="preserve">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
</v>
      </c>
      <c r="Q42" s="29">
        <f>VLOOKUP(A42,Model!C$2:J$93,8,FALSE)</f>
        <v>40</v>
      </c>
      <c r="R42" s="2" t="b">
        <f>VLOOKUP(C42,Table!A$2:F$98,1,FALSE)=C42</f>
        <v>1</v>
      </c>
      <c r="S42" s="2" t="str">
        <f>VLOOKUP(SUBSTITUTE(A42," ","_"),View!A$2:I$106,1,FALSE)</f>
        <v>ORIGINAL_EVENT_TYPE</v>
      </c>
      <c r="T42" s="44" t="s">
        <v>57</v>
      </c>
      <c r="U42" s="45" t="s">
        <v>58</v>
      </c>
      <c r="V42" s="5"/>
      <c r="W42" s="5" t="s">
        <v>191</v>
      </c>
      <c r="X42" s="5" t="s">
        <v>48</v>
      </c>
      <c r="Y42" s="19" t="s">
        <v>194</v>
      </c>
      <c r="Z42" s="5"/>
    </row>
    <row r="43" spans="1:26" ht="112.5" customHeight="1">
      <c r="A43" s="21" t="s">
        <v>195</v>
      </c>
      <c r="B43" s="21"/>
      <c r="C43" s="5" t="s">
        <v>196</v>
      </c>
      <c r="D43" s="5" t="s">
        <v>111</v>
      </c>
      <c r="E43" s="5" t="s">
        <v>48</v>
      </c>
      <c r="F43" s="5" t="s">
        <v>112</v>
      </c>
      <c r="G43" s="5" t="s">
        <v>48</v>
      </c>
      <c r="H43" s="41" t="s">
        <v>197</v>
      </c>
      <c r="I43" s="5"/>
      <c r="J43" s="5"/>
      <c r="K43" s="5"/>
      <c r="L43" s="5"/>
      <c r="M43" s="2" t="b">
        <f>VLOOKUP(A43,Model!C$2:J$93,2,FALSE)=C43</f>
        <v>1</v>
      </c>
      <c r="N43" s="5"/>
      <c r="O43" s="2" t="b">
        <f>VLOOKUP(A43,Model!C$2:J$93,3,FALSE)=H43</f>
        <v>0</v>
      </c>
      <c r="P43" s="29" t="str">
        <f>VLOOKUP(A43,Model!C$2:J$93,3,FALSE)</f>
        <v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v>
      </c>
      <c r="Q43" s="29">
        <f>VLOOKUP(A43,Model!C$2:J$93,8,FALSE)</f>
        <v>41</v>
      </c>
      <c r="R43" s="2" t="b">
        <f>VLOOKUP(C43,Table!A$2:F$98,1,FALSE)=C43</f>
        <v>1</v>
      </c>
      <c r="S43" s="2" t="str">
        <f>VLOOKUP(SUBSTITUTE(A43," ","_"),View!A$2:I$106,1,FALSE)</f>
        <v>ORIGINAL_PRICE</v>
      </c>
      <c r="T43" s="3" t="s">
        <v>57</v>
      </c>
      <c r="U43" s="5" t="s">
        <v>58</v>
      </c>
      <c r="V43" s="5" t="s">
        <v>198</v>
      </c>
      <c r="W43" s="5" t="s">
        <v>111</v>
      </c>
      <c r="X43" s="5" t="s">
        <v>48</v>
      </c>
      <c r="Y43" s="19" t="s">
        <v>199</v>
      </c>
      <c r="Z43" s="5"/>
    </row>
    <row r="44" spans="1:26" ht="84.75" customHeight="1">
      <c r="A44" s="21" t="s">
        <v>200</v>
      </c>
      <c r="B44" s="21"/>
      <c r="C44" s="5" t="s">
        <v>201</v>
      </c>
      <c r="D44" s="5" t="s">
        <v>111</v>
      </c>
      <c r="E44" s="5" t="s">
        <v>48</v>
      </c>
      <c r="F44" s="5" t="s">
        <v>112</v>
      </c>
      <c r="G44" s="5" t="s">
        <v>48</v>
      </c>
      <c r="H44" s="27" t="s">
        <v>202</v>
      </c>
      <c r="I44" s="5"/>
      <c r="J44" s="5"/>
      <c r="K44" s="5"/>
      <c r="L44" s="5"/>
      <c r="M44" s="2" t="b">
        <f>VLOOKUP(A44,Model!C$2:J$93,2,FALSE)=C44</f>
        <v>1</v>
      </c>
      <c r="N44" s="5"/>
      <c r="O44" s="2" t="b">
        <f>VLOOKUP(A44,Model!C$2:J$93,3,FALSE)=H44</f>
        <v>0</v>
      </c>
      <c r="P44" s="29" t="str">
        <f>VLOOKUP(A44,Model!C$2:J$93,3,FALSE)</f>
        <v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v>
      </c>
      <c r="Q44" s="29">
        <f>VLOOKUP(A44,Model!C$2:J$93,8,FALSE)</f>
        <v>42</v>
      </c>
      <c r="R44" s="2" t="b">
        <f>VLOOKUP(C44,Table!A$2:F$98,1,FALSE)=C44</f>
        <v>1</v>
      </c>
      <c r="S44" s="2" t="str">
        <f>VLOOKUP(SUBSTITUTE(A44," ","_"),View!A$2:I$106,1,FALSE)</f>
        <v>ORIGINAL_PROCEED</v>
      </c>
      <c r="T44" s="3" t="s">
        <v>57</v>
      </c>
      <c r="U44" s="5" t="s">
        <v>58</v>
      </c>
      <c r="V44" s="5" t="s">
        <v>203</v>
      </c>
      <c r="W44" s="5" t="s">
        <v>111</v>
      </c>
      <c r="X44" s="5" t="s">
        <v>48</v>
      </c>
      <c r="Y44" s="19" t="s">
        <v>204</v>
      </c>
      <c r="Z44" s="5"/>
    </row>
    <row r="45" spans="1:26" ht="409.5">
      <c r="A45" s="21" t="s">
        <v>205</v>
      </c>
      <c r="B45" s="21"/>
      <c r="C45" s="5" t="s">
        <v>206</v>
      </c>
      <c r="D45" s="5" t="s">
        <v>191</v>
      </c>
      <c r="E45" s="5" t="s">
        <v>48</v>
      </c>
      <c r="F45" s="5" t="s">
        <v>192</v>
      </c>
      <c r="G45" s="5" t="s">
        <v>48</v>
      </c>
      <c r="H45" s="27" t="s">
        <v>207</v>
      </c>
      <c r="I45" s="5"/>
      <c r="J45" s="5"/>
      <c r="K45" s="5"/>
      <c r="L45" s="5"/>
      <c r="M45" s="2" t="b">
        <f>VLOOKUP(A45,Model!C$2:J$93,2,FALSE)=C45</f>
        <v>1</v>
      </c>
      <c r="N45" s="5"/>
      <c r="O45" s="2" t="b">
        <f>VLOOKUP(A45,Model!C$2:J$93,3,FALSE)=H45</f>
        <v>0</v>
      </c>
      <c r="P45" s="29" t="str">
        <f>VLOOKUP(A45,Model!C$2:J$93,3,FALSE)</f>
        <v>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v>
      </c>
      <c r="Q45" s="29">
        <f>VLOOKUP(A45,Model!C$2:J$93,8,FALSE)</f>
        <v>43</v>
      </c>
      <c r="R45" s="2" t="b">
        <f>VLOOKUP(C45,Table!A$2:F$98,1,FALSE)=C45</f>
        <v>1</v>
      </c>
      <c r="S45" s="2" t="str">
        <f>VLOOKUP(SUBSTITUTE(A45," ","_"),View!A$2:I$106,1,FALSE)</f>
        <v>ORIGINAL_TRANSACTION_TYPE_CODE</v>
      </c>
      <c r="T45" s="44" t="s">
        <v>57</v>
      </c>
      <c r="U45" s="45" t="s">
        <v>58</v>
      </c>
      <c r="V45" s="5"/>
      <c r="W45" s="5" t="s">
        <v>191</v>
      </c>
      <c r="X45" s="5" t="s">
        <v>48</v>
      </c>
      <c r="Y45" s="19" t="s">
        <v>194</v>
      </c>
      <c r="Z45" s="5"/>
    </row>
    <row r="46" spans="1:26" ht="90">
      <c r="A46" s="21" t="s">
        <v>208</v>
      </c>
      <c r="B46" s="21"/>
      <c r="C46" s="5" t="s">
        <v>209</v>
      </c>
      <c r="D46" s="5" t="s">
        <v>111</v>
      </c>
      <c r="E46" s="5" t="s">
        <v>48</v>
      </c>
      <c r="F46" s="5" t="s">
        <v>112</v>
      </c>
      <c r="G46" s="5" t="s">
        <v>48</v>
      </c>
      <c r="H46" s="42" t="s">
        <v>210</v>
      </c>
      <c r="I46" s="5"/>
      <c r="J46" s="5"/>
      <c r="K46" s="5"/>
      <c r="L46" s="5"/>
      <c r="M46" s="2" t="b">
        <f>VLOOKUP(A46,Model!C$2:J$93,2,FALSE)=C46</f>
        <v>1</v>
      </c>
      <c r="N46" s="5"/>
      <c r="O46" s="2" t="b">
        <f>VLOOKUP(A46,Model!C$2:J$93,3,FALSE)=H46</f>
        <v>0</v>
      </c>
      <c r="P46" s="29" t="str">
        <f>VLOOKUP(A46,Model!C$2:J$93,3,FALSE)</f>
        <v xml:space="preserve">MAXIT Source:TAXLOT_DTL_OPN. PREMIUM
RJT Source: None
option premium amount added to the underlying stock when an option is assigned to the holder.
</v>
      </c>
      <c r="Q46" s="29">
        <f>VLOOKUP(A46,Model!C$2:J$93,8,FALSE)</f>
        <v>44</v>
      </c>
      <c r="R46" s="2" t="b">
        <f>VLOOKUP(C46,Table!A$2:F$98,1,FALSE)=C46</f>
        <v>1</v>
      </c>
      <c r="S46" s="2" t="str">
        <f>VLOOKUP(SUBSTITUTE(A46," ","_"),View!A$2:I$106,1,FALSE)</f>
        <v>PREMIUM_AMOUNT</v>
      </c>
      <c r="T46" s="3"/>
      <c r="U46" s="5"/>
      <c r="V46" s="5" t="s">
        <v>160</v>
      </c>
      <c r="W46" s="5" t="s">
        <v>111</v>
      </c>
      <c r="X46" s="5" t="s">
        <v>48</v>
      </c>
      <c r="Y46" s="19"/>
      <c r="Z46" s="5"/>
    </row>
    <row r="47" spans="1:26" ht="136.5" customHeight="1">
      <c r="A47" s="21" t="s">
        <v>211</v>
      </c>
      <c r="B47" s="21"/>
      <c r="C47" s="5" t="s">
        <v>212</v>
      </c>
      <c r="D47" s="5" t="s">
        <v>111</v>
      </c>
      <c r="E47" s="5" t="s">
        <v>48</v>
      </c>
      <c r="F47" s="5" t="s">
        <v>112</v>
      </c>
      <c r="G47" s="5" t="s">
        <v>48</v>
      </c>
      <c r="H47" s="27" t="s">
        <v>213</v>
      </c>
      <c r="I47" s="5"/>
      <c r="J47" s="5"/>
      <c r="K47" s="5"/>
      <c r="L47" s="5"/>
      <c r="M47" s="2" t="b">
        <f>VLOOKUP(A47,Model!C$2:J$93,2,FALSE)=C47</f>
        <v>1</v>
      </c>
      <c r="N47" s="5"/>
      <c r="O47" s="2" t="b">
        <f>VLOOKUP(A47,Model!C$2:J$93,3,FALSE)=H47</f>
        <v>0</v>
      </c>
      <c r="P47" s="29" t="str">
        <f>VLOOKUP(A47,Model!C$2:J$93,3,FALSE)</f>
        <v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v>
      </c>
      <c r="Q47" s="29">
        <f>VLOOKUP(A47,Model!C$2:J$93,8,FALSE)</f>
        <v>45</v>
      </c>
      <c r="R47" s="2" t="b">
        <f>VLOOKUP(C47,Table!A$2:F$98,1,FALSE)=C47</f>
        <v>1</v>
      </c>
      <c r="S47" s="2" t="str">
        <f>VLOOKUP(SUBSTITUTE(A47," ","_"),View!A$2:I$106,1,FALSE)</f>
        <v>QUANTITY</v>
      </c>
      <c r="T47" s="3" t="s">
        <v>57</v>
      </c>
      <c r="U47" s="5" t="s">
        <v>58</v>
      </c>
      <c r="V47" s="5" t="s">
        <v>214</v>
      </c>
      <c r="W47" s="5" t="s">
        <v>111</v>
      </c>
      <c r="X47" s="5" t="s">
        <v>48</v>
      </c>
      <c r="Y47" s="19"/>
      <c r="Z47" s="5"/>
    </row>
    <row r="48" spans="1:26" ht="271.5" customHeight="1">
      <c r="A48" s="21" t="s">
        <v>215</v>
      </c>
      <c r="B48" s="21"/>
      <c r="C48" s="5" t="s">
        <v>216</v>
      </c>
      <c r="D48" s="5" t="s">
        <v>47</v>
      </c>
      <c r="E48" s="5" t="s">
        <v>48</v>
      </c>
      <c r="F48" s="5" t="s">
        <v>49</v>
      </c>
      <c r="G48" s="5" t="s">
        <v>48</v>
      </c>
      <c r="H48" s="27" t="s">
        <v>217</v>
      </c>
      <c r="I48" s="5"/>
      <c r="J48" s="5"/>
      <c r="K48" s="5"/>
      <c r="L48" s="5"/>
      <c r="M48" s="2" t="b">
        <f>VLOOKUP(A48,Model!C$2:J$93,2,FALSE)=C48</f>
        <v>1</v>
      </c>
      <c r="N48" s="5"/>
      <c r="O48" s="2" t="b">
        <f>VLOOKUP(A48,Model!C$2:J$93,3,FALSE)=H48</f>
        <v>0</v>
      </c>
      <c r="P48" s="29" t="str">
        <f>VLOOKUP(A48,Model!C$2:J$93,3,FALSE)</f>
        <v xml:space="preserve">MAXIT Source: CCAL_TAXLOT_OWNER.TAXLOT_DTL_OPN/CLS.RCRD_TP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v>
      </c>
      <c r="Q48" s="29">
        <f>VLOOKUP(A48,Model!C$2:J$93,8,FALSE)</f>
        <v>46</v>
      </c>
      <c r="R48" s="2" t="b">
        <f>VLOOKUP(C48,Table!A$2:F$98,1,FALSE)=C48</f>
        <v>1</v>
      </c>
      <c r="S48" s="2" t="str">
        <f>VLOOKUP(SUBSTITUTE(A48," ","_"),View!A$2:I$106,1,FALSE)</f>
        <v>SOURCE_RECORD_TYPE_CODE</v>
      </c>
      <c r="T48" s="3"/>
      <c r="U48" s="5" t="s">
        <v>181</v>
      </c>
      <c r="V48" s="5" t="s">
        <v>218</v>
      </c>
      <c r="W48" s="5" t="s">
        <v>47</v>
      </c>
      <c r="X48" s="5" t="s">
        <v>48</v>
      </c>
      <c r="Y48" s="19" t="s">
        <v>219</v>
      </c>
      <c r="Z48" s="5"/>
    </row>
    <row r="49" spans="1:26" ht="112.5" customHeight="1">
      <c r="A49" s="21" t="s">
        <v>220</v>
      </c>
      <c r="B49" s="21"/>
      <c r="C49" s="5" t="s">
        <v>221</v>
      </c>
      <c r="D49" s="5" t="s">
        <v>71</v>
      </c>
      <c r="E49" s="5" t="s">
        <v>48</v>
      </c>
      <c r="F49" s="5" t="s">
        <v>72</v>
      </c>
      <c r="G49" s="5" t="s">
        <v>48</v>
      </c>
      <c r="H49" s="27" t="s">
        <v>222</v>
      </c>
      <c r="I49" s="5"/>
      <c r="J49" s="5"/>
      <c r="K49" s="5"/>
      <c r="L49" s="5"/>
      <c r="M49" s="2" t="b">
        <f>VLOOKUP(A49,Model!C$2:J$93,2,FALSE)=C49</f>
        <v>1</v>
      </c>
      <c r="N49" s="5"/>
      <c r="O49" s="2" t="b">
        <f>VLOOKUP(A49,Model!C$2:J$93,3,FALSE)=H49</f>
        <v>0</v>
      </c>
      <c r="P49" s="29" t="str">
        <f>VLOOKUP(A49,Model!C$2:J$93,3,FALSE)</f>
        <v xml:space="preserve">MAXIT Source: TAXLOT_DTL_OPN.RVST_F
RJT Source: TAX_LOT_OPN_MSTR.RVST_F
For MAXIT it is RJ Derived
When original_tran_type = DRP, set to Y
ELSE set to N 
"	
</v>
      </c>
      <c r="Q49" s="29">
        <f>VLOOKUP(A49,Model!C$2:J$93,8,FALSE)</f>
        <v>47</v>
      </c>
      <c r="R49" s="2" t="b">
        <f>VLOOKUP(C49,Table!A$2:F$98,1,FALSE)=C49</f>
        <v>1</v>
      </c>
      <c r="S49" s="2" t="str">
        <f>VLOOKUP(SUBSTITUTE(A49," ","_"),View!A$2:I$106,1,FALSE)</f>
        <v>REINVESTMENT_LOT_FLAG</v>
      </c>
      <c r="T49" s="3" t="s">
        <v>57</v>
      </c>
      <c r="U49" s="5" t="s">
        <v>58</v>
      </c>
      <c r="V49" s="5" t="s">
        <v>223</v>
      </c>
      <c r="W49" s="5" t="s">
        <v>71</v>
      </c>
      <c r="X49" s="5" t="s">
        <v>48</v>
      </c>
      <c r="Y49" s="19"/>
      <c r="Z49" s="5"/>
    </row>
    <row r="50" spans="1:26" ht="90">
      <c r="A50" s="21" t="s">
        <v>224</v>
      </c>
      <c r="B50" s="21"/>
      <c r="C50" s="5" t="s">
        <v>225</v>
      </c>
      <c r="D50" s="5" t="s">
        <v>91</v>
      </c>
      <c r="E50" s="5" t="s">
        <v>48</v>
      </c>
      <c r="F50" s="5" t="s">
        <v>92</v>
      </c>
      <c r="G50" s="5" t="s">
        <v>48</v>
      </c>
      <c r="H50" s="27" t="s">
        <v>226</v>
      </c>
      <c r="I50" s="5"/>
      <c r="J50" s="5"/>
      <c r="K50" s="5"/>
      <c r="L50" s="5"/>
      <c r="M50" s="2" t="b">
        <f>VLOOKUP(A50,Model!C$2:J$93,2,FALSE)=C50</f>
        <v>1</v>
      </c>
      <c r="N50" s="5"/>
      <c r="O50" s="2" t="b">
        <f>VLOOKUP(A50,Model!C$2:J$93,3,FALSE)=H50</f>
        <v>0</v>
      </c>
      <c r="P50" s="29" t="str">
        <f>VLOOKUP(A50,Model!C$2:J$93,3,FALSE)</f>
        <v xml:space="preserve">Settlement date of Open/close transaction supplied by RJ or created by Maxit for corporate actions.
MAXIT Source: TAXLOT_DTL_OPN.SD
RJT Source: TAX_LOT_OPN_MSTR.SD
 </v>
      </c>
      <c r="Q50" s="29">
        <f>VLOOKUP(A50,Model!C$2:J$93,8,FALSE)</f>
        <v>48</v>
      </c>
      <c r="R50" s="2" t="b">
        <f>VLOOKUP(C50,Table!A$2:F$98,1,FALSE)=C50</f>
        <v>1</v>
      </c>
      <c r="S50" s="2" t="str">
        <f>VLOOKUP(SUBSTITUTE(A50," ","_"),View!A$2:I$106,1,FALSE)</f>
        <v>SETTLEMENT_DATE</v>
      </c>
      <c r="T50" s="3" t="s">
        <v>57</v>
      </c>
      <c r="U50" s="5" t="s">
        <v>58</v>
      </c>
      <c r="V50" s="5" t="s">
        <v>225</v>
      </c>
      <c r="W50" s="5" t="s">
        <v>91</v>
      </c>
      <c r="X50" s="5" t="s">
        <v>48</v>
      </c>
      <c r="Y50" s="19"/>
      <c r="Z50" s="5"/>
    </row>
    <row r="51" spans="1:26" ht="30">
      <c r="A51" s="21" t="s">
        <v>227</v>
      </c>
      <c r="B51" s="21"/>
      <c r="C51" s="5" t="s">
        <v>228</v>
      </c>
      <c r="D51" s="5" t="s">
        <v>229</v>
      </c>
      <c r="E51" s="5" t="s">
        <v>48</v>
      </c>
      <c r="F51" s="5" t="s">
        <v>230</v>
      </c>
      <c r="G51" s="5" t="s">
        <v>48</v>
      </c>
      <c r="H51" s="41" t="s">
        <v>231</v>
      </c>
      <c r="I51" s="5"/>
      <c r="J51" s="5"/>
      <c r="K51" s="5"/>
      <c r="L51" s="5"/>
      <c r="M51" s="2" t="b">
        <f>VLOOKUP(A51,Model!C$2:J$93,2,FALSE)=C51</f>
        <v>1</v>
      </c>
      <c r="N51" s="5"/>
      <c r="O51" s="2" t="b">
        <f>VLOOKUP(A51,Model!C$2:J$93,3,FALSE)=H51</f>
        <v>0</v>
      </c>
      <c r="P51" s="29" t="str">
        <f>VLOOKUP(A51,Model!C$2:J$93,3,FALSE)</f>
        <v xml:space="preserve">MAXIT Source: TAXLOT_DTL_OPN.TRD_NUM
</v>
      </c>
      <c r="Q51" s="29">
        <f>VLOOKUP(A51,Model!C$2:J$93,8,FALSE)</f>
        <v>50</v>
      </c>
      <c r="R51" s="2" t="b">
        <f>VLOOKUP(C51,Table!A$2:F$98,1,FALSE)=C51</f>
        <v>1</v>
      </c>
      <c r="S51" s="2" t="str">
        <f>VLOOKUP(SUBSTITUTE(A51," ","_"),View!A$2:I$106,1,FALSE)</f>
        <v>TRADE_NUMBER</v>
      </c>
      <c r="T51" s="3" t="s">
        <v>57</v>
      </c>
      <c r="U51" s="5" t="s">
        <v>58</v>
      </c>
      <c r="V51" s="5" t="s">
        <v>228</v>
      </c>
      <c r="W51" s="5" t="s">
        <v>229</v>
      </c>
      <c r="X51" s="5" t="s">
        <v>48</v>
      </c>
      <c r="Y51" s="19"/>
      <c r="Z51" s="5"/>
    </row>
    <row r="52" spans="1:26" ht="60">
      <c r="A52" s="21" t="s">
        <v>232</v>
      </c>
      <c r="B52" s="21"/>
      <c r="C52" s="5" t="s">
        <v>233</v>
      </c>
      <c r="D52" s="5" t="s">
        <v>91</v>
      </c>
      <c r="E52" s="5" t="s">
        <v>48</v>
      </c>
      <c r="F52" s="5" t="s">
        <v>92</v>
      </c>
      <c r="G52" s="5" t="s">
        <v>48</v>
      </c>
      <c r="H52" s="41" t="s">
        <v>234</v>
      </c>
      <c r="I52" s="5"/>
      <c r="J52" s="5"/>
      <c r="K52" s="5"/>
      <c r="L52" s="5"/>
      <c r="M52" s="2" t="b">
        <f>VLOOKUP(A52,Model!C$2:J$93,2,FALSE)=C52</f>
        <v>1</v>
      </c>
      <c r="N52" s="5"/>
      <c r="O52" s="2" t="b">
        <f>VLOOKUP(A52,Model!C$2:J$93,3,FALSE)=H52</f>
        <v>0</v>
      </c>
      <c r="P52" s="29" t="str">
        <f>VLOOKUP(A52,Model!C$2:J$93,3,FALSE)</f>
        <v xml:space="preserve">MAXIT Source:TAXLOT_DTL_OPN.TXN_INIT_DT_x000D_
RJT Source: TAX_LOT_OPN_MSTR.TXN_INTT_DT_x000D_
_x000D_
</v>
      </c>
      <c r="Q52" s="29">
        <f>VLOOKUP(A52,Model!C$2:J$93,8,FALSE)</f>
        <v>51</v>
      </c>
      <c r="R52" s="2" t="b">
        <f>VLOOKUP(C52,Table!A$2:F$98,1,FALSE)=C52</f>
        <v>1</v>
      </c>
      <c r="S52" s="2" t="str">
        <f>VLOOKUP(SUBSTITUTE(A52," ","_"),View!A$2:I$106,1,FALSE)</f>
        <v>TRANSACTION_INITIATE_DATE</v>
      </c>
      <c r="T52" s="3" t="s">
        <v>57</v>
      </c>
      <c r="U52" s="5" t="s">
        <v>58</v>
      </c>
      <c r="V52" s="5" t="s">
        <v>235</v>
      </c>
      <c r="W52" s="5" t="s">
        <v>91</v>
      </c>
      <c r="X52" s="5" t="s">
        <v>48</v>
      </c>
      <c r="Y52" s="19"/>
      <c r="Z52" s="5"/>
    </row>
    <row r="53" spans="1:26" ht="60">
      <c r="A53" s="21" t="s">
        <v>236</v>
      </c>
      <c r="B53" s="21"/>
      <c r="C53" s="5" t="s">
        <v>237</v>
      </c>
      <c r="D53" s="5" t="s">
        <v>47</v>
      </c>
      <c r="E53" s="5" t="s">
        <v>48</v>
      </c>
      <c r="F53" s="5" t="s">
        <v>49</v>
      </c>
      <c r="G53" s="5" t="s">
        <v>48</v>
      </c>
      <c r="H53" s="42" t="s">
        <v>238</v>
      </c>
      <c r="I53" s="5"/>
      <c r="J53" s="5"/>
      <c r="K53" s="5"/>
      <c r="L53" s="5"/>
      <c r="M53" s="2" t="b">
        <f>VLOOKUP(A53,Model!C$2:J$93,2,FALSE)=C53</f>
        <v>1</v>
      </c>
      <c r="N53" s="5"/>
      <c r="O53" s="2" t="b">
        <f>VLOOKUP(A53,Model!C$2:J$93,3,FALSE)=H53</f>
        <v>0</v>
      </c>
      <c r="P53" s="29" t="str">
        <f>VLOOKUP(A53,Model!C$2:J$93,3,FALSE)</f>
        <v xml:space="preserve">MAXIT Source: TAXLOT_DTL_OPN.TXN_TP
RJT Source: TAX_LOT_OPN_MSTR.ORIG_TAX_LOT_TXN_TP_ID
</v>
      </c>
      <c r="Q53" s="29">
        <f>VLOOKUP(A53,Model!C$2:J$93,8,FALSE)</f>
        <v>52</v>
      </c>
      <c r="R53" s="2" t="b">
        <f>VLOOKUP(C53,Table!A$2:F$98,1,FALSE)=C53</f>
        <v>1</v>
      </c>
      <c r="S53" s="2" t="str">
        <f>VLOOKUP(SUBSTITUTE(A53," ","_"),View!A$2:I$106,1,FALSE)</f>
        <v>TRANSACTION_TYPE_CODE</v>
      </c>
      <c r="T53" s="44" t="s">
        <v>57</v>
      </c>
      <c r="U53" s="45" t="s">
        <v>58</v>
      </c>
      <c r="V53" s="5"/>
      <c r="W53" s="5" t="s">
        <v>47</v>
      </c>
      <c r="X53" s="5" t="s">
        <v>48</v>
      </c>
      <c r="Y53" s="19" t="s">
        <v>194</v>
      </c>
      <c r="Z53" s="5"/>
    </row>
    <row r="54" spans="1:26" ht="45">
      <c r="A54" s="21" t="s">
        <v>239</v>
      </c>
      <c r="B54" s="21"/>
      <c r="C54" s="5" t="s">
        <v>240</v>
      </c>
      <c r="D54" s="5" t="s">
        <v>111</v>
      </c>
      <c r="E54" s="5" t="s">
        <v>48</v>
      </c>
      <c r="F54" s="5" t="s">
        <v>112</v>
      </c>
      <c r="G54" s="5" t="s">
        <v>48</v>
      </c>
      <c r="H54" s="41" t="s">
        <v>241</v>
      </c>
      <c r="I54" s="5"/>
      <c r="J54" s="5"/>
      <c r="K54" s="5"/>
      <c r="L54" s="5"/>
      <c r="M54" s="2" t="b">
        <f>VLOOKUP(A54,Model!C$2:J$93,2,FALSE)=C54</f>
        <v>1</v>
      </c>
      <c r="N54" s="5"/>
      <c r="O54" s="2" t="b">
        <f>VLOOKUP(A54,Model!C$2:J$93,3,FALSE)=H54</f>
        <v>0</v>
      </c>
      <c r="P54" s="29" t="str">
        <f>VLOOKUP(A54,Model!C$2:J$93,3,FALSE)</f>
        <v xml:space="preserve">MAXIT Source: TAXLOT_DTL_OPN.UC
RJT Source: TAX_LOT_OPN_ASOF.NML_CCY_ASOF_PER_UC_AMT
</v>
      </c>
      <c r="Q54" s="29">
        <f>VLOOKUP(A54,Model!C$2:J$93,8,FALSE)</f>
        <v>53</v>
      </c>
      <c r="R54" s="2" t="b">
        <f>VLOOKUP(C54,Table!A$2:F$98,1,FALSE)=C54</f>
        <v>1</v>
      </c>
      <c r="S54" s="2" t="str">
        <f>VLOOKUP(SUBSTITUTE(A54," ","_"),View!A$2:I$106,1,FALSE)</f>
        <v>UNIT_COST</v>
      </c>
      <c r="T54" s="3" t="s">
        <v>57</v>
      </c>
      <c r="U54" s="5" t="s">
        <v>58</v>
      </c>
      <c r="V54" s="5" t="s">
        <v>242</v>
      </c>
      <c r="W54" s="5" t="s">
        <v>111</v>
      </c>
      <c r="X54" s="5" t="s">
        <v>48</v>
      </c>
      <c r="Y54" s="19" t="s">
        <v>243</v>
      </c>
      <c r="Z54" s="5"/>
    </row>
    <row r="55" spans="1:26" ht="45">
      <c r="A55" s="21" t="s">
        <v>244</v>
      </c>
      <c r="B55" s="21"/>
      <c r="C55" s="5" t="s">
        <v>245</v>
      </c>
      <c r="D55" s="5" t="s">
        <v>111</v>
      </c>
      <c r="E55" s="5" t="s">
        <v>48</v>
      </c>
      <c r="F55" s="5" t="s">
        <v>112</v>
      </c>
      <c r="G55" s="5" t="s">
        <v>48</v>
      </c>
      <c r="H55" s="27" t="s">
        <v>246</v>
      </c>
      <c r="I55" s="5"/>
      <c r="J55" s="5"/>
      <c r="K55" s="5"/>
      <c r="L55" s="5"/>
      <c r="M55" s="2" t="b">
        <f>VLOOKUP(A55,Model!C$2:J$93,2,FALSE)=C55</f>
        <v>1</v>
      </c>
      <c r="N55" s="5"/>
      <c r="O55" s="2" t="b">
        <f>VLOOKUP(A55,Model!C$2:J$93,3,FALSE)=H55</f>
        <v>0</v>
      </c>
      <c r="P55" s="29" t="str">
        <f>VLOOKUP(A55,Model!C$2:J$93,3,FALSE)</f>
        <v xml:space="preserve">MAXIT Source: TAXLOT_DTL_OPN.UC
RJT Source: TAX_LOT_OPN_ASOF.NML_CCY_ASOF_PER_UC_AMT
</v>
      </c>
      <c r="Q55" s="29">
        <f>VLOOKUP(A55,Model!C$2:J$93,8,FALSE)</f>
        <v>54</v>
      </c>
      <c r="R55" s="2" t="b">
        <f>VLOOKUP(C55,Table!A$2:F$98,1,FALSE)=C55</f>
        <v>1</v>
      </c>
      <c r="S55" s="2" t="str">
        <f>VLOOKUP(SUBSTITUTE(A55," ","_"),View!A$2:I$106,1,FALSE)</f>
        <v>SYSTEM_BASE_CURRENCY_UNIT_COST</v>
      </c>
      <c r="T55" s="3" t="s">
        <v>57</v>
      </c>
      <c r="U55" s="5" t="s">
        <v>58</v>
      </c>
      <c r="V55" s="5" t="s">
        <v>242</v>
      </c>
      <c r="W55" s="5" t="s">
        <v>111</v>
      </c>
      <c r="X55" s="5" t="s">
        <v>48</v>
      </c>
      <c r="Y55" s="19" t="s">
        <v>243</v>
      </c>
      <c r="Z55" s="5"/>
    </row>
    <row r="56" spans="1:26" ht="60">
      <c r="A56" s="21" t="s">
        <v>247</v>
      </c>
      <c r="B56" s="21"/>
      <c r="C56" s="5" t="s">
        <v>248</v>
      </c>
      <c r="D56" s="5" t="s">
        <v>71</v>
      </c>
      <c r="E56" s="5" t="s">
        <v>48</v>
      </c>
      <c r="F56" s="5" t="s">
        <v>72</v>
      </c>
      <c r="G56" s="5" t="s">
        <v>48</v>
      </c>
      <c r="H56" s="42" t="s">
        <v>249</v>
      </c>
      <c r="I56" s="5"/>
      <c r="J56" s="5"/>
      <c r="K56" s="5"/>
      <c r="L56" s="5"/>
      <c r="M56" s="2" t="b">
        <f>VLOOKUP(A56,Model!C$2:J$93,2,FALSE)=C56</f>
        <v>1</v>
      </c>
      <c r="N56" s="5"/>
      <c r="O56" s="2" t="b">
        <f>VLOOKUP(A56,Model!C$2:J$93,3,FALSE)=H56</f>
        <v>0</v>
      </c>
      <c r="P56" s="29" t="str">
        <f>VLOOKUP(A56,Model!C$2:J$93,3,FALSE)</f>
        <v>MAXIT Source: TAXLOT_DTL_OPN.WASH_SALE_IND
RJT Source: TAX_LOT_OPN_MSTR.WASH_SALE_F
WASH_SALE_IND on Source. Y= Wash Sale Sublot</v>
      </c>
      <c r="Q56" s="29">
        <f>VLOOKUP(A56,Model!C$2:J$93,8,FALSE)</f>
        <v>55</v>
      </c>
      <c r="R56" s="2" t="b">
        <f>VLOOKUP(C56,Table!A$2:F$98,1,FALSE)=C56</f>
        <v>1</v>
      </c>
      <c r="S56" s="2" t="str">
        <f>VLOOKUP(SUBSTITUTE(A56," ","_"),View!A$2:I$106,1,FALSE)</f>
        <v>WASH_SALE_FLAG</v>
      </c>
      <c r="T56" s="3" t="s">
        <v>57</v>
      </c>
      <c r="U56" s="5" t="s">
        <v>58</v>
      </c>
      <c r="V56" s="5" t="s">
        <v>248</v>
      </c>
      <c r="W56" s="5" t="s">
        <v>71</v>
      </c>
      <c r="X56" s="5" t="s">
        <v>48</v>
      </c>
      <c r="Y56" s="19"/>
      <c r="Z56" s="5"/>
    </row>
    <row r="57" spans="1:26" ht="60">
      <c r="A57" s="21" t="s">
        <v>250</v>
      </c>
      <c r="B57" s="21"/>
      <c r="C57" s="5" t="s">
        <v>251</v>
      </c>
      <c r="D57" s="5" t="s">
        <v>252</v>
      </c>
      <c r="E57" s="5" t="s">
        <v>48</v>
      </c>
      <c r="F57" s="5" t="s">
        <v>253</v>
      </c>
      <c r="G57" s="5" t="s">
        <v>48</v>
      </c>
      <c r="H57" s="41" t="s">
        <v>254</v>
      </c>
      <c r="I57" s="5"/>
      <c r="J57" s="5"/>
      <c r="K57" s="5"/>
      <c r="L57" s="5"/>
      <c r="M57" s="2" t="b">
        <f>VLOOKUP(A57,Model!C$2:J$93,2,FALSE)=C57</f>
        <v>1</v>
      </c>
      <c r="N57" s="5"/>
      <c r="O57" s="2" t="b">
        <f>VLOOKUP(A57,Model!C$2:J$93,3,FALSE)=H57</f>
        <v>0</v>
      </c>
      <c r="P57" s="29" t="str">
        <f>VLOOKUP(A57,Model!C$2:J$93,3,FALSE)</f>
        <v xml:space="preserve">MAXIT Source TAXLOT_DTL_OPN.ZERO_BSS_IND
RJT Source: TAX_LOT_OPN_MSTR.ZERO_BSS_IND_F
</v>
      </c>
      <c r="Q57" s="29">
        <f>VLOOKUP(A57,Model!C$2:J$93,8,FALSE)</f>
        <v>56</v>
      </c>
      <c r="R57" s="2" t="b">
        <f>VLOOKUP(C57,Table!A$2:F$98,1,FALSE)=C57</f>
        <v>1</v>
      </c>
      <c r="S57" s="2" t="str">
        <f>VLOOKUP(SUBSTITUTE(A57," ","_"),View!A$2:I$106,1,FALSE)</f>
        <v>ZERO_COST_BASIS_FLAG</v>
      </c>
      <c r="T57" s="3" t="s">
        <v>57</v>
      </c>
      <c r="U57" s="5" t="s">
        <v>58</v>
      </c>
      <c r="V57" s="5" t="s">
        <v>255</v>
      </c>
      <c r="W57" s="5" t="s">
        <v>252</v>
      </c>
      <c r="X57" s="5" t="s">
        <v>48</v>
      </c>
      <c r="Y57" s="19"/>
      <c r="Z57" s="5"/>
    </row>
    <row r="58" spans="1:26" ht="345">
      <c r="A58" s="21" t="s">
        <v>256</v>
      </c>
      <c r="B58" s="21"/>
      <c r="C58" s="5" t="s">
        <v>257</v>
      </c>
      <c r="D58" s="5" t="s">
        <v>101</v>
      </c>
      <c r="E58" s="5" t="s">
        <v>48</v>
      </c>
      <c r="F58" s="5" t="s">
        <v>102</v>
      </c>
      <c r="G58" s="5" t="s">
        <v>48</v>
      </c>
      <c r="H58" s="27" t="s">
        <v>258</v>
      </c>
      <c r="I58" s="5"/>
      <c r="J58" s="5"/>
      <c r="K58" s="5"/>
      <c r="L58" s="5"/>
      <c r="M58" s="2" t="b">
        <f>VLOOKUP(A58,Model!C$2:J$93,2,FALSE)=C58</f>
        <v>1</v>
      </c>
      <c r="N58" s="5"/>
      <c r="O58" s="2" t="b">
        <f>VLOOKUP(A58,Model!C$2:J$93,3,FALSE)=H58</f>
        <v>0</v>
      </c>
      <c r="P58" s="29" t="str">
        <f>VLOOKUP(A58,Model!C$2:J$93,3,FALSE)</f>
        <v>Wash Sale Type 
from SRD</v>
      </c>
      <c r="Q58" s="29">
        <f>VLOOKUP(A58,Model!C$2:J$93,8,FALSE)</f>
        <v>57</v>
      </c>
      <c r="R58" s="2" t="b">
        <f>VLOOKUP(C58,Table!A$2:F$98,1,FALSE)=C58</f>
        <v>1</v>
      </c>
      <c r="S58" s="2" t="str">
        <f>VLOOKUP(SUBSTITUTE(A58," ","_"),View!A$2:I$106,1,FALSE)</f>
        <v>WASH_SALE_TYPE</v>
      </c>
      <c r="T58" s="3"/>
      <c r="U58" s="5"/>
      <c r="V58" s="5" t="s">
        <v>160</v>
      </c>
      <c r="W58" s="5"/>
      <c r="X58" s="5"/>
      <c r="Y58" s="38" t="s">
        <v>259</v>
      </c>
      <c r="Z58" s="5"/>
    </row>
    <row r="59" spans="1:26" ht="60">
      <c r="A59" s="21" t="s">
        <v>260</v>
      </c>
      <c r="B59" s="21"/>
      <c r="C59" s="5" t="s">
        <v>261</v>
      </c>
      <c r="D59" s="5" t="s">
        <v>111</v>
      </c>
      <c r="E59" s="5" t="s">
        <v>48</v>
      </c>
      <c r="F59" s="5" t="s">
        <v>112</v>
      </c>
      <c r="G59" s="5" t="s">
        <v>48</v>
      </c>
      <c r="H59" s="41" t="s">
        <v>262</v>
      </c>
      <c r="I59" s="5"/>
      <c r="J59" s="5"/>
      <c r="K59" s="5"/>
      <c r="L59" s="5"/>
      <c r="M59" s="2" t="b">
        <f>VLOOKUP(A59,Model!C$2:J$93,2,FALSE)=C59</f>
        <v>1</v>
      </c>
      <c r="N59" s="5"/>
      <c r="O59" s="2" t="b">
        <f>VLOOKUP(A59,Model!C$2:J$93,3,FALSE)=H59</f>
        <v>0</v>
      </c>
      <c r="P59" s="29" t="str">
        <f>VLOOKUP(A59,Model!C$2:J$93,3,FALSE)</f>
        <v xml:space="preserve">MAXIT Source: TAXLOT_DTL_OPN.DISALWD_WASHSALE_AMT
RJT Source: TAX_LOT_OPN_MSTR.NML_CCY_WASH_SALE_AMT
</v>
      </c>
      <c r="Q59" s="29">
        <f>VLOOKUP(A59,Model!C$2:J$93,8,FALSE)</f>
        <v>58</v>
      </c>
      <c r="R59" s="2" t="b">
        <f>VLOOKUP(C59,Table!A$2:F$98,1,FALSE)=C59</f>
        <v>1</v>
      </c>
      <c r="S59" s="2" t="str">
        <f>VLOOKUP(SUBSTITUTE(A59," ","_"),View!A$2:I$106,1,FALSE)</f>
        <v>SYSTEM_BASE_CURRENCY_DISALLOWED_WASH_SALE_AMOUNT</v>
      </c>
      <c r="T59" s="3" t="s">
        <v>57</v>
      </c>
      <c r="U59" s="5" t="s">
        <v>58</v>
      </c>
      <c r="V59" s="5" t="s">
        <v>137</v>
      </c>
      <c r="W59" s="5" t="s">
        <v>111</v>
      </c>
      <c r="X59" s="5" t="s">
        <v>48</v>
      </c>
      <c r="Y59" s="38"/>
      <c r="Z59" s="5"/>
    </row>
    <row r="60" spans="1:26" ht="105">
      <c r="A60" s="21" t="s">
        <v>263</v>
      </c>
      <c r="B60" s="21"/>
      <c r="C60" s="5" t="s">
        <v>264</v>
      </c>
      <c r="D60" s="5" t="s">
        <v>111</v>
      </c>
      <c r="E60" s="5" t="s">
        <v>48</v>
      </c>
      <c r="F60" s="5" t="s">
        <v>112</v>
      </c>
      <c r="G60" s="5" t="s">
        <v>48</v>
      </c>
      <c r="H60" s="41" t="s">
        <v>265</v>
      </c>
      <c r="I60" s="5"/>
      <c r="J60" s="5"/>
      <c r="K60" s="5"/>
      <c r="L60" s="5"/>
      <c r="M60" s="2" t="b">
        <f>VLOOKUP(A60,Model!C$2:J$93,2,FALSE)=C60</f>
        <v>1</v>
      </c>
      <c r="N60" s="5"/>
      <c r="O60" s="2" t="b">
        <f>VLOOKUP(A60,Model!C$2:J$93,3,FALSE)=H60</f>
        <v>0</v>
      </c>
      <c r="P60" s="29" t="str">
        <f>VLOOKUP(A60,Model!C$2:J$93,3,FALSE)</f>
        <v xml:space="preserve">Adjusted cost for the Lot
MAXIT source: TAXLOT_DTL_OPN.ADJ_COST
RJT Source: TAX_LOT_OPN_ASOF	NML_CCY_ASOF_ADJ_COST_AMT
</v>
      </c>
      <c r="Q60" s="29">
        <f>VLOOKUP(A60,Model!C$2:J$93,8,FALSE)</f>
        <v>59</v>
      </c>
      <c r="R60" s="2" t="b">
        <f>VLOOKUP(C60,Table!A$2:F$98,1,FALSE)=C60</f>
        <v>1</v>
      </c>
      <c r="S60" s="2" t="str">
        <f>VLOOKUP(SUBSTITUTE(A60," ","_"),View!A$2:I$106,1,FALSE)</f>
        <v>SYSTEM_BASE_CURRENCY_ADJUSTED_COST</v>
      </c>
      <c r="T60" s="3" t="s">
        <v>57</v>
      </c>
      <c r="U60" s="5" t="s">
        <v>58</v>
      </c>
      <c r="V60" s="5" t="s">
        <v>114</v>
      </c>
      <c r="W60" s="5" t="s">
        <v>111</v>
      </c>
      <c r="X60" s="5" t="s">
        <v>48</v>
      </c>
      <c r="Y60" s="19" t="s">
        <v>115</v>
      </c>
      <c r="Z60" s="5"/>
    </row>
    <row r="61" spans="1:26" ht="122.25" customHeight="1">
      <c r="A61" s="21" t="s">
        <v>266</v>
      </c>
      <c r="B61" s="21"/>
      <c r="C61" s="5" t="s">
        <v>267</v>
      </c>
      <c r="D61" s="5" t="s">
        <v>111</v>
      </c>
      <c r="E61" s="5" t="s">
        <v>48</v>
      </c>
      <c r="F61" s="5" t="s">
        <v>112</v>
      </c>
      <c r="G61" s="5" t="s">
        <v>48</v>
      </c>
      <c r="H61" s="41" t="s">
        <v>268</v>
      </c>
      <c r="I61" s="5"/>
      <c r="J61" s="5"/>
      <c r="K61" s="5"/>
      <c r="L61" s="5"/>
      <c r="M61" s="2" t="b">
        <f>VLOOKUP(A61,Model!C$2:J$93,2,FALSE)=C61</f>
        <v>1</v>
      </c>
      <c r="N61" s="5"/>
      <c r="O61" s="2" t="b">
        <f>VLOOKUP(A61,Model!C$2:J$93,3,FALSE)=H61</f>
        <v>0</v>
      </c>
      <c r="P61" s="29" t="str">
        <f>VLOOKUP(A61,Model!C$2:J$93,3,FALSE)</f>
        <v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v>
      </c>
      <c r="Q61" s="29">
        <f>VLOOKUP(A61,Model!C$2:J$93,8,FALSE)</f>
        <v>60</v>
      </c>
      <c r="R61" s="2" t="b">
        <f>VLOOKUP(C61,Table!A$2:F$98,1,FALSE)=C61</f>
        <v>1</v>
      </c>
      <c r="S61" s="2" t="str">
        <f>VLOOKUP(SUBSTITUTE(A61," ","_"),View!A$2:I$106,1,FALSE)</f>
        <v>SYSTEM_BASE_CURRENCY_FAIR_MARKET_VALUE</v>
      </c>
      <c r="T61" s="3" t="s">
        <v>57</v>
      </c>
      <c r="U61" s="5" t="s">
        <v>58</v>
      </c>
      <c r="V61" s="5" t="s">
        <v>145</v>
      </c>
      <c r="W61" s="5" t="s">
        <v>111</v>
      </c>
      <c r="X61" s="5" t="s">
        <v>48</v>
      </c>
      <c r="Y61" s="19" t="s">
        <v>146</v>
      </c>
      <c r="Z61" s="5"/>
    </row>
    <row r="62" spans="1:26" ht="99.75" customHeight="1">
      <c r="A62" s="21" t="s">
        <v>269</v>
      </c>
      <c r="B62" s="21"/>
      <c r="C62" s="5" t="s">
        <v>176</v>
      </c>
      <c r="D62" s="5" t="s">
        <v>111</v>
      </c>
      <c r="E62" s="5" t="s">
        <v>48</v>
      </c>
      <c r="F62" s="5" t="s">
        <v>112</v>
      </c>
      <c r="G62" s="5" t="s">
        <v>48</v>
      </c>
      <c r="H62" s="27" t="s">
        <v>270</v>
      </c>
      <c r="I62" s="5"/>
      <c r="J62" s="5"/>
      <c r="K62" s="5"/>
      <c r="L62" s="5"/>
      <c r="M62" s="2" t="b">
        <f>VLOOKUP(A62,Model!C$2:J$93,2,FALSE)=C62</f>
        <v>1</v>
      </c>
      <c r="N62" s="5"/>
      <c r="O62" s="2" t="b">
        <f>VLOOKUP(A62,Model!C$2:J$93,3,FALSE)=H62</f>
        <v>0</v>
      </c>
      <c r="P62" s="29" t="str">
        <f>VLOOKUP(A62,Model!C$2:J$93,3,FALSE)</f>
        <v xml:space="preserve">Price_factor of opening transaction
Used for factored bonds
MAXIT Source: TAXLOT_DTL_OPN.OPN_FCTR
RJT Source: TAX_LOT_OPN_MSTR.NML_CCY_OPN_PRC_FCTR
</v>
      </c>
      <c r="Q62" s="29">
        <f>VLOOKUP(A62,Model!C$2:J$93,8,FALSE)</f>
        <v>61</v>
      </c>
      <c r="R62" s="2" t="b">
        <f>VLOOKUP(C62,Table!A$2:F$98,1,FALSE)=C62</f>
        <v>1</v>
      </c>
      <c r="S62" s="2" t="str">
        <f>VLOOKUP(SUBSTITUTE(A62," ","_"),View!A$2:I$106,1,FALSE)</f>
        <v>SYSTEM_BASE_CURRENCY_OPEN_PRICE_FACTOR</v>
      </c>
      <c r="T62" s="3" t="s">
        <v>57</v>
      </c>
      <c r="U62" s="5" t="s">
        <v>58</v>
      </c>
      <c r="V62" s="5" t="s">
        <v>176</v>
      </c>
      <c r="W62" s="5" t="s">
        <v>111</v>
      </c>
      <c r="X62" s="5" t="s">
        <v>48</v>
      </c>
      <c r="Y62" s="19" t="s">
        <v>177</v>
      </c>
      <c r="Z62" s="5"/>
    </row>
    <row r="63" spans="1:26" ht="158.25" customHeight="1">
      <c r="A63" s="21" t="s">
        <v>271</v>
      </c>
      <c r="B63" s="21"/>
      <c r="C63" s="5" t="s">
        <v>272</v>
      </c>
      <c r="D63" s="5" t="s">
        <v>111</v>
      </c>
      <c r="E63" s="5" t="s">
        <v>48</v>
      </c>
      <c r="F63" s="5" t="s">
        <v>112</v>
      </c>
      <c r="G63" s="5" t="s">
        <v>48</v>
      </c>
      <c r="H63" s="27" t="s">
        <v>273</v>
      </c>
      <c r="I63" s="5"/>
      <c r="J63" s="5"/>
      <c r="K63" s="5"/>
      <c r="L63" s="5"/>
      <c r="M63" s="2" t="b">
        <f>VLOOKUP(A63,Model!C$2:J$93,2,FALSE)=C63</f>
        <v>1</v>
      </c>
      <c r="N63" s="5"/>
      <c r="O63" s="2" t="b">
        <f>VLOOKUP(A63,Model!C$2:J$93,3,FALSE)=H63</f>
        <v>0</v>
      </c>
      <c r="P63" s="29" t="str">
        <f>VLOOKUP(A63,Model!C$2:J$93,3,FALSE)</f>
        <v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v>
      </c>
      <c r="Q63" s="29">
        <f>VLOOKUP(A63,Model!C$2:J$93,8,FALSE)</f>
        <v>62</v>
      </c>
      <c r="R63" s="2" t="b">
        <f>VLOOKUP(C63,Table!A$2:F$98,1,FALSE)=C63</f>
        <v>1</v>
      </c>
      <c r="S63" s="2" t="str">
        <f>VLOOKUP(SUBSTITUTE(A63," ","_"),View!A$2:I$106,1,FALSE)</f>
        <v>SYSTEM_BASE_CURRENCY_COST_AMOUNT</v>
      </c>
      <c r="T63" s="3" t="s">
        <v>57</v>
      </c>
      <c r="U63" s="5" t="s">
        <v>58</v>
      </c>
      <c r="V63" s="5" t="s">
        <v>274</v>
      </c>
      <c r="W63" s="5" t="s">
        <v>111</v>
      </c>
      <c r="X63" s="5" t="s">
        <v>48</v>
      </c>
      <c r="Y63" s="19" t="s">
        <v>188</v>
      </c>
      <c r="Z63" s="5"/>
    </row>
    <row r="64" spans="1:26" ht="210">
      <c r="A64" s="21" t="s">
        <v>275</v>
      </c>
      <c r="B64" s="21"/>
      <c r="C64" s="5" t="s">
        <v>198</v>
      </c>
      <c r="D64" s="5" t="s">
        <v>276</v>
      </c>
      <c r="E64" s="5" t="s">
        <v>48</v>
      </c>
      <c r="F64" s="5" t="s">
        <v>277</v>
      </c>
      <c r="G64" s="5" t="s">
        <v>48</v>
      </c>
      <c r="H64" s="27" t="s">
        <v>278</v>
      </c>
      <c r="I64" s="5"/>
      <c r="J64" s="5"/>
      <c r="K64" s="5"/>
      <c r="L64" s="5"/>
      <c r="M64" s="2" t="b">
        <f>VLOOKUP(A64,Model!C$2:J$93,2,FALSE)=C64</f>
        <v>1</v>
      </c>
      <c r="N64" s="5"/>
      <c r="O64" s="2" t="b">
        <f>VLOOKUP(A64,Model!C$2:J$93,3,FALSE)=H64</f>
        <v>0</v>
      </c>
      <c r="P64" s="29" t="str">
        <f>VLOOKUP(A64,Model!C$2:J$93,3,FALSE)</f>
        <v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v>
      </c>
      <c r="Q64" s="29">
        <f>VLOOKUP(A64,Model!C$2:J$93,8,FALSE)</f>
        <v>63</v>
      </c>
      <c r="R64" s="2" t="b">
        <f>VLOOKUP(C64,Table!A$2:F$98,1,FALSE)=C64</f>
        <v>1</v>
      </c>
      <c r="S64" s="2" t="str">
        <f>VLOOKUP(SUBSTITUTE(A64," ","_"),View!A$2:I$106,1,FALSE)</f>
        <v>SYSTEM_BASE_CURRENCY_ORIGINAL_PRICE</v>
      </c>
      <c r="T64" s="3" t="s">
        <v>57</v>
      </c>
      <c r="U64" s="5" t="s">
        <v>58</v>
      </c>
      <c r="V64" s="5" t="s">
        <v>198</v>
      </c>
      <c r="W64" s="5" t="s">
        <v>276</v>
      </c>
      <c r="X64" s="5" t="s">
        <v>48</v>
      </c>
      <c r="Y64" s="19" t="s">
        <v>199</v>
      </c>
      <c r="Z64" s="5"/>
    </row>
    <row r="65" spans="1:26" ht="135">
      <c r="A65" s="21" t="s">
        <v>279</v>
      </c>
      <c r="B65" s="21"/>
      <c r="C65" s="5" t="s">
        <v>280</v>
      </c>
      <c r="D65" s="5" t="s">
        <v>111</v>
      </c>
      <c r="E65" s="5" t="s">
        <v>48</v>
      </c>
      <c r="F65" s="5" t="s">
        <v>112</v>
      </c>
      <c r="G65" s="5" t="s">
        <v>48</v>
      </c>
      <c r="H65" s="27" t="s">
        <v>202</v>
      </c>
      <c r="I65" s="5"/>
      <c r="J65" s="5"/>
      <c r="K65" s="5"/>
      <c r="L65" s="5"/>
      <c r="M65" s="2" t="b">
        <f>VLOOKUP(A65,Model!C$2:J$93,2,FALSE)=C65</f>
        <v>1</v>
      </c>
      <c r="N65" s="5"/>
      <c r="O65" s="2" t="b">
        <f>VLOOKUP(A65,Model!C$2:J$93,3,FALSE)=H65</f>
        <v>0</v>
      </c>
      <c r="P65" s="29" t="str">
        <f>VLOOKUP(A65,Model!C$2:J$93,3,FALSE)</f>
        <v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v>
      </c>
      <c r="Q65" s="29">
        <f>VLOOKUP(A65,Model!C$2:J$93,8,FALSE)</f>
        <v>64</v>
      </c>
      <c r="R65" s="2" t="b">
        <f>VLOOKUP(C65,Table!A$2:F$98,1,FALSE)=C65</f>
        <v>1</v>
      </c>
      <c r="S65" s="2" t="str">
        <f>VLOOKUP(SUBSTITUTE(A65," ","_"),View!A$2:I$106,1,FALSE)</f>
        <v>SYSTEM_BASE_CURRENCY_ORIGINAL_PROCEED</v>
      </c>
      <c r="T65" s="3" t="s">
        <v>57</v>
      </c>
      <c r="U65" s="5" t="s">
        <v>58</v>
      </c>
      <c r="V65" s="5" t="s">
        <v>203</v>
      </c>
      <c r="W65" s="5" t="s">
        <v>111</v>
      </c>
      <c r="X65" s="5" t="s">
        <v>48</v>
      </c>
      <c r="Y65" s="19" t="s">
        <v>204</v>
      </c>
      <c r="Z65" s="5"/>
    </row>
    <row r="66" spans="1:26" ht="45">
      <c r="A66" s="21" t="s">
        <v>281</v>
      </c>
      <c r="B66" s="21"/>
      <c r="C66" s="5" t="s">
        <v>282</v>
      </c>
      <c r="D66" s="5" t="s">
        <v>41</v>
      </c>
      <c r="E66" s="5" t="s">
        <v>48</v>
      </c>
      <c r="F66" s="5" t="s">
        <v>43</v>
      </c>
      <c r="G66" s="5" t="s">
        <v>48</v>
      </c>
      <c r="H66" s="27" t="s">
        <v>283</v>
      </c>
      <c r="I66" s="5"/>
      <c r="J66" s="5"/>
      <c r="K66" s="5"/>
      <c r="L66" s="5"/>
      <c r="M66" s="2" t="b">
        <f>VLOOKUP(A66,Model!C$2:J$93,2,FALSE)=C66</f>
        <v>1</v>
      </c>
      <c r="N66" s="5"/>
      <c r="O66" s="2" t="b">
        <f>VLOOKUP(A66,Model!C$2:J$93,3,FALSE)=H66</f>
        <v>0</v>
      </c>
      <c r="P66" s="29" t="str">
        <f>VLOOKUP(A66,Model!C$2:J$93,3,FALSE)</f>
        <v xml:space="preserve">MAXIT: Hardcode ??? We need to setup a source system
RJT Source: TAX_LOT_OPN_MSTR.SRC_STM_ID
</v>
      </c>
      <c r="Q66" s="29">
        <f>VLOOKUP(A66,Model!C$2:J$93,8,FALSE)</f>
        <v>66</v>
      </c>
      <c r="R66" s="2" t="b">
        <f>VLOOKUP(C66,Table!A$2:F$98,1,FALSE)=C66</f>
        <v>1</v>
      </c>
      <c r="S66" s="2" t="str">
        <f>VLOOKUP(SUBSTITUTE(A66," ","_"),View!A$2:I$106,1,FALSE)</f>
        <v>SOURCE_SYSTEM_ID</v>
      </c>
      <c r="T66" s="3" t="s">
        <v>57</v>
      </c>
      <c r="U66" s="5" t="s">
        <v>58</v>
      </c>
      <c r="V66" s="5" t="s">
        <v>282</v>
      </c>
      <c r="W66" s="5" t="s">
        <v>41</v>
      </c>
      <c r="X66" s="5" t="s">
        <v>48</v>
      </c>
      <c r="Y66" s="19"/>
      <c r="Z66" s="5"/>
    </row>
    <row r="67" spans="1:26" ht="90">
      <c r="A67" s="21" t="s">
        <v>284</v>
      </c>
      <c r="B67" s="21"/>
      <c r="C67" s="5" t="s">
        <v>285</v>
      </c>
      <c r="D67" s="5" t="s">
        <v>286</v>
      </c>
      <c r="E67" s="5" t="s">
        <v>48</v>
      </c>
      <c r="F67" s="5" t="s">
        <v>287</v>
      </c>
      <c r="G67" s="5" t="s">
        <v>48</v>
      </c>
      <c r="H67" s="27" t="s">
        <v>288</v>
      </c>
      <c r="I67" s="5"/>
      <c r="J67" s="5"/>
      <c r="K67" s="5"/>
      <c r="L67" s="5"/>
      <c r="M67" s="2" t="b">
        <f>VLOOKUP(A67,Model!C$2:J$93,2,FALSE)=C67</f>
        <v>1</v>
      </c>
      <c r="N67" s="5"/>
      <c r="O67" s="2" t="b">
        <f>VLOOKUP(A67,Model!C$2:J$93,3,FALSE)=H67</f>
        <v>0</v>
      </c>
      <c r="P67" s="29" t="str">
        <f>VLOOKUP(A67,Model!C$2:J$93,3,FALSE)</f>
        <v xml:space="preserve">Name of the source system e.g., SIS - Securities Industry Software, Raymond James, Raymond James Bank, Shadow Suite
MAXIT: Hardcode ??? We need to setup a source system
RJT Source: TAX_LOT_OPN_MSTR.SRC_STM_ID
</v>
      </c>
      <c r="Q67" s="29">
        <f>VLOOKUP(A67,Model!C$2:J$93,8,FALSE)</f>
        <v>67</v>
      </c>
      <c r="R67" s="2" t="b">
        <f>VLOOKUP(C67,Table!A$2:F$98,1,FALSE)=C67</f>
        <v>1</v>
      </c>
      <c r="S67" s="2" t="str">
        <f>VLOOKUP(SUBSTITUTE(A67," ","_"),View!A$2:I$106,1,FALSE)</f>
        <v>SOURCE_SYSTEM_NAME</v>
      </c>
      <c r="T67" s="3" t="s">
        <v>51</v>
      </c>
      <c r="U67" s="5" t="s">
        <v>52</v>
      </c>
      <c r="V67" s="5" t="s">
        <v>285</v>
      </c>
      <c r="W67" s="5" t="s">
        <v>286</v>
      </c>
      <c r="X67" s="5" t="s">
        <v>48</v>
      </c>
      <c r="Y67" s="19" t="s">
        <v>289</v>
      </c>
      <c r="Z67" s="5"/>
    </row>
    <row r="68" spans="1:26" ht="90">
      <c r="A68" s="21" t="s">
        <v>290</v>
      </c>
      <c r="B68" s="21"/>
      <c r="C68" s="5" t="s">
        <v>291</v>
      </c>
      <c r="D68" s="5" t="s">
        <v>41</v>
      </c>
      <c r="E68" s="5" t="s">
        <v>48</v>
      </c>
      <c r="F68" s="5" t="s">
        <v>43</v>
      </c>
      <c r="G68" s="5" t="s">
        <v>48</v>
      </c>
      <c r="H68" s="27" t="s">
        <v>292</v>
      </c>
      <c r="I68" s="5"/>
      <c r="J68" s="5"/>
      <c r="K68" s="5"/>
      <c r="L68" s="5"/>
      <c r="M68" s="2" t="b">
        <f>VLOOKUP(A68,Model!C$2:J$93,2,FALSE)=C68</f>
        <v>1</v>
      </c>
      <c r="N68" s="5"/>
      <c r="O68" s="2" t="b">
        <f>VLOOKUP(A68,Model!C$2:J$93,3,FALSE)=H68</f>
        <v>0</v>
      </c>
      <c r="P68" s="29" t="str">
        <f>VLOOKUP(A68,Model!C$2:J$93,3,FALSE)</f>
        <v xml:space="preserve">Numeric identifier of the accounting type ID (e.g., 1006, 1001)
Lookup using Accounting type Code (MAXIT TAXLOT_DTL_OPN.AC_TP, RJT TAX_LOT_OPN_MSTR.ACG_TP_CODE)
</v>
      </c>
      <c r="Q68" s="29">
        <f>VLOOKUP(A68,Model!C$2:J$93,8,FALSE)</f>
        <v>68</v>
      </c>
      <c r="R68" s="2" t="b">
        <f>VLOOKUP(C68,Table!A$2:F$98,1,FALSE)=C68</f>
        <v>1</v>
      </c>
      <c r="S68" s="2" t="str">
        <f>VLOOKUP(SUBSTITUTE(A68," ","_"),View!A$2:I$106,1,FALSE)</f>
        <v>ACCOUNTING_TYPE_ID</v>
      </c>
      <c r="T68" s="3" t="s">
        <v>51</v>
      </c>
      <c r="U68" s="5" t="s">
        <v>104</v>
      </c>
      <c r="V68" s="5" t="s">
        <v>291</v>
      </c>
      <c r="W68" s="5" t="s">
        <v>41</v>
      </c>
      <c r="X68" s="5" t="s">
        <v>48</v>
      </c>
      <c r="Y68" s="38" t="s">
        <v>293</v>
      </c>
      <c r="Z68" s="5"/>
    </row>
    <row r="69" spans="1:26" ht="409.5">
      <c r="A69" s="21" t="s">
        <v>294</v>
      </c>
      <c r="B69" s="21"/>
      <c r="C69" s="5" t="s">
        <v>295</v>
      </c>
      <c r="D69" s="5" t="s">
        <v>101</v>
      </c>
      <c r="E69" s="5" t="s">
        <v>48</v>
      </c>
      <c r="F69" s="5" t="s">
        <v>102</v>
      </c>
      <c r="G69" s="5" t="s">
        <v>48</v>
      </c>
      <c r="H69" s="27" t="s">
        <v>296</v>
      </c>
      <c r="I69" s="5"/>
      <c r="J69" s="5"/>
      <c r="K69" s="5"/>
      <c r="L69" s="5"/>
      <c r="M69" s="2" t="b">
        <f>VLOOKUP(A69,Model!C$2:J$93,2,FALSE)=C69</f>
        <v>1</v>
      </c>
      <c r="N69" s="5"/>
      <c r="O69" s="2" t="b">
        <f>VLOOKUP(A69,Model!C$2:J$93,3,FALSE)=H69</f>
        <v>0</v>
      </c>
      <c r="P69" s="29" t="str">
        <f>VLOOKUP(A69,Model!C$2:J$93,3,FALSE)</f>
        <v xml:space="preserve">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
</v>
      </c>
      <c r="Q69" s="29">
        <f>VLOOKUP(A69,Model!C$2:J$93,8,FALSE)</f>
        <v>74</v>
      </c>
      <c r="R69" s="2" t="b">
        <f>VLOOKUP(C69,Table!A$2:F$98,1,FALSE)=C69</f>
        <v>1</v>
      </c>
      <c r="S69" s="2" t="str">
        <f>VLOOKUP(SUBSTITUTE(A69," ","_"),View!A$2:I$106,1,FALSE)</f>
        <v>TAX_LOT_TYPE</v>
      </c>
      <c r="T69" s="44" t="s">
        <v>63</v>
      </c>
      <c r="U69" s="45" t="s">
        <v>181</v>
      </c>
      <c r="V69" s="5" t="s">
        <v>182</v>
      </c>
      <c r="W69" s="5"/>
      <c r="X69" s="5" t="s">
        <v>48</v>
      </c>
      <c r="Y69" s="19" t="s">
        <v>297</v>
      </c>
      <c r="Z69" s="5"/>
    </row>
    <row r="70" spans="1:26" ht="105">
      <c r="A70" s="21" t="s">
        <v>298</v>
      </c>
      <c r="B70" s="21"/>
      <c r="C70" s="5" t="s">
        <v>299</v>
      </c>
      <c r="D70" s="5" t="s">
        <v>71</v>
      </c>
      <c r="E70" s="5" t="s">
        <v>48</v>
      </c>
      <c r="F70" s="5" t="s">
        <v>72</v>
      </c>
      <c r="G70" s="5" t="s">
        <v>48</v>
      </c>
      <c r="H70" s="27" t="s">
        <v>300</v>
      </c>
      <c r="I70" s="5"/>
      <c r="J70" s="5"/>
      <c r="K70" s="5"/>
      <c r="L70" s="5"/>
      <c r="M70" s="2" t="b">
        <f>VLOOKUP(A70,Model!C$2:J$93,2,FALSE)=C70</f>
        <v>1</v>
      </c>
      <c r="N70" s="5"/>
      <c r="O70" s="2" t="b">
        <f>VLOOKUP(A70,Model!C$2:J$93,3,FALSE)=H70</f>
        <v>0</v>
      </c>
      <c r="P70" s="29" t="str">
        <f>VLOOKUP(A70,Model!C$2:J$93,3,FALSE)</f>
        <v xml:space="preserve">
For Brokerage if the covered uncovered from tax lot detail open table is C, then set to Y Otherwise, set to N
For RJ Trust accounts if the Covered Flag from the tax lot open master table is C, then set to Y Otherwise, set to N 
</v>
      </c>
      <c r="Q70" s="29">
        <f>VLOOKUP(A70,Model!C$2:J$93,8,FALSE)</f>
        <v>75</v>
      </c>
      <c r="R70" s="2" t="b">
        <f>VLOOKUP(C70,Table!A$2:F$98,1,FALSE)=C70</f>
        <v>1</v>
      </c>
      <c r="S70" s="2" t="str">
        <f>VLOOKUP(SUBSTITUTE(A70," ","_"),View!A$2:I$106,1,FALSE)</f>
        <v>COST_BASIS_LEGISLATION_COVERAGE_FLAG</v>
      </c>
      <c r="T70" s="3" t="s">
        <v>57</v>
      </c>
      <c r="U70" s="5" t="s">
        <v>58</v>
      </c>
      <c r="V70" s="5" t="s">
        <v>133</v>
      </c>
      <c r="W70" s="5" t="s">
        <v>71</v>
      </c>
      <c r="X70" s="5" t="s">
        <v>48</v>
      </c>
      <c r="Y70" s="19" t="s">
        <v>301</v>
      </c>
      <c r="Z70" s="5"/>
    </row>
    <row r="71" spans="1:26" s="39" customFormat="1" ht="240">
      <c r="A71" s="21" t="s">
        <v>302</v>
      </c>
      <c r="B71" s="21"/>
      <c r="C71" s="21" t="s">
        <v>303</v>
      </c>
      <c r="D71" s="21" t="s">
        <v>71</v>
      </c>
      <c r="E71" s="21" t="s">
        <v>48</v>
      </c>
      <c r="F71" s="21" t="s">
        <v>72</v>
      </c>
      <c r="G71" s="21" t="s">
        <v>48</v>
      </c>
      <c r="H71" s="29" t="s">
        <v>304</v>
      </c>
      <c r="I71" s="21"/>
      <c r="J71" s="21"/>
      <c r="K71" s="21"/>
      <c r="L71" s="21"/>
      <c r="M71" s="2" t="b">
        <f>VLOOKUP(A71,Model!C$2:J$93,2,FALSE)=C71</f>
        <v>1</v>
      </c>
      <c r="N71" s="21"/>
      <c r="O71" s="2" t="b">
        <f>VLOOKUP(A71,Model!C$2:J$93,3,FALSE)=H71</f>
        <v>0</v>
      </c>
      <c r="P71" s="29" t="str">
        <f>VLOOKUP(A71,Model!C$2:J$93,3,FALSE)</f>
        <v xml:space="preserve">For Brokerage accounts_x000D_
 If the reinvest flag from tax lot detail open is not equal to Y_x000D_
  If the missing cost flag from tax lot detail open is Y, then set to Y_x000D_
  If the missing average cost flag (null flag) from tax lot detail open is Y, then set to Y_x000D_
 Otherwise, set to N_x000D_
_x000D_
For RJ Trust accounts_x000D_
 If the reinvest flag from tax lot open master is not equal to Y_x000D_
  If the Missing Cost Flag from the tax lot open master table is Y, then set to Y_x000D_
  If the Null Basis Flag from the tax lot open master table is Y, then set to Y_x000D_
?Otherwise, set to N_x000D_
_x000D_
</v>
      </c>
      <c r="Q71" s="29">
        <f>VLOOKUP(A71,Model!C$2:J$93,8,FALSE)</f>
        <v>77</v>
      </c>
      <c r="R71" s="2" t="b">
        <f>VLOOKUP(C71,Table!A$2:F$98,1,FALSE)=C71</f>
        <v>1</v>
      </c>
      <c r="S71" s="2" t="str">
        <f>VLOOKUP(SUBSTITUTE(A71," ","_"),View!A$2:I$106,1,FALSE)</f>
        <v>MISSING_INVEST_COST_FLAG</v>
      </c>
      <c r="T71" s="3"/>
      <c r="U71" s="5"/>
      <c r="V71" s="5"/>
      <c r="W71" s="21" t="s">
        <v>71</v>
      </c>
      <c r="X71" s="21" t="s">
        <v>48</v>
      </c>
      <c r="Y71" s="46" t="s">
        <v>305</v>
      </c>
      <c r="Z71" s="47"/>
    </row>
    <row r="72" spans="1:26">
      <c r="A72" s="21" t="s">
        <v>306</v>
      </c>
      <c r="B72" s="21"/>
      <c r="C72" s="5" t="s">
        <v>307</v>
      </c>
      <c r="D72" s="5" t="s">
        <v>41</v>
      </c>
      <c r="E72" s="5" t="s">
        <v>48</v>
      </c>
      <c r="F72" s="5" t="s">
        <v>43</v>
      </c>
      <c r="G72" s="5" t="s">
        <v>48</v>
      </c>
      <c r="H72" s="27" t="s">
        <v>308</v>
      </c>
      <c r="I72" s="5"/>
      <c r="J72" s="5"/>
      <c r="K72" s="5"/>
      <c r="L72" s="5"/>
      <c r="M72" s="2" t="b">
        <f>VLOOKUP(A72,Model!C$2:J$93,2,FALSE)=C72</f>
        <v>1</v>
      </c>
      <c r="N72" s="5"/>
      <c r="O72" s="2" t="b">
        <f>VLOOKUP(A72,Model!C$2:J$93,3,FALSE)=H72</f>
        <v>0</v>
      </c>
      <c r="P72" s="29">
        <f>VLOOKUP(A72,Model!C$2:J$93,3,FALSE)</f>
        <v>0</v>
      </c>
      <c r="Q72" s="29">
        <f>VLOOKUP(A72,Model!C$2:J$93,8,FALSE)</f>
        <v>65</v>
      </c>
      <c r="R72" s="2" t="b">
        <f>VLOOKUP(C72,Table!A$2:F$98,1,FALSE)=C72</f>
        <v>1</v>
      </c>
      <c r="S72" s="2" t="e">
        <f>VLOOKUP(SUBSTITUTE(A72," ","_"),View!A$2:I$106,1,FALSE)</f>
        <v>#N/A</v>
      </c>
      <c r="T72" s="3"/>
      <c r="U72" s="5"/>
      <c r="V72" s="5"/>
      <c r="W72" s="5"/>
      <c r="X72" s="5" t="s">
        <v>48</v>
      </c>
      <c r="Y72" s="19"/>
      <c r="Z72" s="5"/>
    </row>
    <row r="73" spans="1:26">
      <c r="A73" s="21" t="s">
        <v>309</v>
      </c>
      <c r="B73" s="21"/>
      <c r="C73" s="5" t="s">
        <v>310</v>
      </c>
      <c r="D73" s="5" t="s">
        <v>311</v>
      </c>
      <c r="E73" s="5" t="s">
        <v>42</v>
      </c>
      <c r="F73" s="5" t="s">
        <v>311</v>
      </c>
      <c r="G73" s="5" t="s">
        <v>42</v>
      </c>
      <c r="H73" s="27" t="s">
        <v>312</v>
      </c>
      <c r="I73" s="5"/>
      <c r="J73" s="5"/>
      <c r="K73" s="5"/>
      <c r="L73" s="5"/>
      <c r="M73" s="2" t="b">
        <f>VLOOKUP(A73,Model!C$2:J$93,2,FALSE)=C73</f>
        <v>1</v>
      </c>
      <c r="N73" s="5"/>
      <c r="O73" s="2" t="b">
        <f>VLOOKUP(A73,Model!C$2:J$93,3,FALSE)=H73</f>
        <v>0</v>
      </c>
      <c r="P73" s="29">
        <f>VLOOKUP(A73,Model!C$2:J$93,3,FALSE)</f>
        <v>0</v>
      </c>
      <c r="Q73" s="29">
        <f>VLOOKUP(A73,Model!C$2:J$93,8,FALSE)</f>
        <v>69</v>
      </c>
      <c r="R73" s="2" t="b">
        <f>VLOOKUP(C73,Table!A$2:F$98,1,FALSE)=C73</f>
        <v>1</v>
      </c>
      <c r="S73" s="2" t="str">
        <f>VLOOKUP(SUBSTITUTE(A73," ","_"),View!A$2:I$106,1,FALSE)</f>
        <v>CREATE_DATETIME</v>
      </c>
      <c r="T73" s="3"/>
      <c r="U73" s="5"/>
      <c r="V73" s="5"/>
      <c r="W73" s="5"/>
      <c r="X73" s="5" t="s">
        <v>42</v>
      </c>
      <c r="Y73" s="19"/>
      <c r="Z73" s="5"/>
    </row>
    <row r="74" spans="1:26" ht="30">
      <c r="A74" s="21" t="s">
        <v>313</v>
      </c>
      <c r="B74" s="21"/>
      <c r="C74" s="5" t="s">
        <v>314</v>
      </c>
      <c r="D74" s="5" t="s">
        <v>315</v>
      </c>
      <c r="E74" s="5" t="s">
        <v>42</v>
      </c>
      <c r="F74" s="5" t="s">
        <v>316</v>
      </c>
      <c r="G74" s="5" t="s">
        <v>42</v>
      </c>
      <c r="H74" s="27" t="s">
        <v>317</v>
      </c>
      <c r="I74" s="5"/>
      <c r="J74" s="5"/>
      <c r="K74" s="5"/>
      <c r="L74" s="5"/>
      <c r="M74" s="2" t="b">
        <f>VLOOKUP(A74,Model!C$2:J$93,2,FALSE)=C74</f>
        <v>1</v>
      </c>
      <c r="N74" s="5"/>
      <c r="O74" s="2" t="b">
        <f>VLOOKUP(A74,Model!C$2:J$93,3,FALSE)=H74</f>
        <v>0</v>
      </c>
      <c r="P74" s="29" t="str">
        <f>VLOOKUP(A74,Model!C$2:J$93,3,FALSE)</f>
        <v>The name that represents the user who created an occurrence of a/an Open Tax Lots Fact.</v>
      </c>
      <c r="Q74" s="29">
        <f>VLOOKUP(A74,Model!C$2:J$93,8,FALSE)</f>
        <v>70</v>
      </c>
      <c r="R74" s="2" t="b">
        <f>VLOOKUP(C74,Table!A$2:F$98,1,FALSE)=C74</f>
        <v>1</v>
      </c>
      <c r="S74" s="2" t="str">
        <f>VLOOKUP(SUBSTITUTE(A74," ","_"),View!A$2:I$106,1,FALSE)</f>
        <v>CREATE_USER_NAME</v>
      </c>
      <c r="T74" s="3"/>
      <c r="U74" s="5"/>
      <c r="V74" s="5"/>
      <c r="W74" s="5"/>
      <c r="X74" s="5" t="s">
        <v>42</v>
      </c>
      <c r="Y74" s="19"/>
      <c r="Z74" s="5"/>
    </row>
    <row r="75" spans="1:26" ht="30">
      <c r="A75" s="21" t="s">
        <v>318</v>
      </c>
      <c r="B75" s="21"/>
      <c r="C75" s="5" t="s">
        <v>319</v>
      </c>
      <c r="D75" s="5" t="s">
        <v>311</v>
      </c>
      <c r="E75" s="5" t="s">
        <v>42</v>
      </c>
      <c r="F75" s="5" t="s">
        <v>311</v>
      </c>
      <c r="G75" s="5" t="s">
        <v>42</v>
      </c>
      <c r="H75" s="27" t="s">
        <v>320</v>
      </c>
      <c r="I75" s="5"/>
      <c r="J75" s="5"/>
      <c r="K75" s="5"/>
      <c r="L75" s="5"/>
      <c r="M75" s="2" t="b">
        <f>VLOOKUP(A75,Model!C$2:J$93,2,FALSE)=C75</f>
        <v>1</v>
      </c>
      <c r="N75" s="5"/>
      <c r="O75" s="2" t="b">
        <f>VLOOKUP(A75,Model!C$2:J$93,3,FALSE)=H75</f>
        <v>0</v>
      </c>
      <c r="P75" s="29">
        <f>VLOOKUP(A75,Model!C$2:J$93,3,FALSE)</f>
        <v>0</v>
      </c>
      <c r="Q75" s="29">
        <f>VLOOKUP(A75,Model!C$2:J$93,8,FALSE)</f>
        <v>71</v>
      </c>
      <c r="R75" s="2" t="b">
        <f>VLOOKUP(C75,Table!A$2:F$98,1,FALSE)=C75</f>
        <v>1</v>
      </c>
      <c r="S75" s="2" t="str">
        <f>VLOOKUP(SUBSTITUTE(A75," ","_"),View!A$2:I$106,1,FALSE)</f>
        <v>LAST_UPDATE_DATETIME</v>
      </c>
      <c r="T75" s="3"/>
      <c r="U75" s="5"/>
      <c r="V75" s="5"/>
      <c r="W75" s="5"/>
      <c r="X75" s="5" t="s">
        <v>42</v>
      </c>
      <c r="Y75" s="19"/>
      <c r="Z75" s="5"/>
    </row>
    <row r="76" spans="1:26" ht="30">
      <c r="A76" s="21" t="s">
        <v>321</v>
      </c>
      <c r="B76" s="21"/>
      <c r="C76" s="5" t="s">
        <v>322</v>
      </c>
      <c r="D76" s="5" t="s">
        <v>315</v>
      </c>
      <c r="E76" s="5" t="s">
        <v>42</v>
      </c>
      <c r="F76" s="5" t="s">
        <v>316</v>
      </c>
      <c r="G76" s="5" t="s">
        <v>42</v>
      </c>
      <c r="H76" s="27" t="s">
        <v>323</v>
      </c>
      <c r="I76" s="5"/>
      <c r="J76" s="5"/>
      <c r="K76" s="5"/>
      <c r="L76" s="5"/>
      <c r="M76" s="2" t="b">
        <f>VLOOKUP(A76,Model!C$2:J$93,2,FALSE)=C76</f>
        <v>1</v>
      </c>
      <c r="N76" s="5"/>
      <c r="O76" s="2" t="b">
        <f>VLOOKUP(A76,Model!C$2:J$93,3,FALSE)=H76</f>
        <v>0</v>
      </c>
      <c r="P76" s="29" t="str">
        <f>VLOOKUP(A76,Model!C$2:J$93,3,FALSE)</f>
        <v>The name that represents the user or application who inserted, updated, or deleted each occurrence of Open Tax Lots Fact.</v>
      </c>
      <c r="Q76" s="29">
        <f>VLOOKUP(A76,Model!C$2:J$93,8,FALSE)</f>
        <v>72</v>
      </c>
      <c r="R76" s="2" t="b">
        <f>VLOOKUP(C76,Table!A$2:F$98,1,FALSE)=C76</f>
        <v>1</v>
      </c>
      <c r="S76" s="2" t="str">
        <f>VLOOKUP(SUBSTITUTE(A76," ","_"),View!A$2:I$106,1,FALSE)</f>
        <v>LAST_UPDATE_USER_NAME</v>
      </c>
      <c r="T76" s="3"/>
      <c r="U76" s="5"/>
      <c r="V76" s="5"/>
      <c r="W76" s="5"/>
      <c r="X76" s="5" t="s">
        <v>42</v>
      </c>
      <c r="Y76" s="19"/>
      <c r="Z76" s="5"/>
    </row>
    <row r="77" spans="1:26">
      <c r="A77" s="22"/>
    </row>
    <row r="78" spans="1:26">
      <c r="A78" s="22"/>
    </row>
    <row r="79" spans="1:26">
      <c r="A79" s="22"/>
    </row>
    <row r="80" spans="1:26">
      <c r="A80" s="22"/>
    </row>
    <row r="81" spans="1:1">
      <c r="A81" s="22"/>
    </row>
    <row r="82" spans="1:1">
      <c r="A82" s="22"/>
    </row>
    <row r="83" spans="1:1">
      <c r="A83" s="22"/>
    </row>
    <row r="84" spans="1:1">
      <c r="A84" s="22"/>
    </row>
    <row r="85" spans="1:1">
      <c r="A85" s="22"/>
    </row>
    <row r="86" spans="1:1">
      <c r="A86" s="22"/>
    </row>
    <row r="87" spans="1:1">
      <c r="A87" s="22"/>
    </row>
    <row r="88" spans="1:1">
      <c r="A88" s="22"/>
    </row>
    <row r="89" spans="1:1">
      <c r="A89" s="22"/>
    </row>
    <row r="90" spans="1:1">
      <c r="A90" s="22"/>
    </row>
    <row r="91" spans="1:1">
      <c r="A91" s="22"/>
    </row>
    <row r="92" spans="1:1">
      <c r="A92" s="22"/>
    </row>
    <row r="93" spans="1:1">
      <c r="A93" s="22"/>
    </row>
    <row r="94" spans="1:1">
      <c r="A94" s="22"/>
    </row>
    <row r="95" spans="1:1">
      <c r="A95" s="22"/>
    </row>
    <row r="96" spans="1:1">
      <c r="A96" s="22"/>
    </row>
    <row r="97" spans="1:1">
      <c r="A97" s="22"/>
    </row>
    <row r="98" spans="1:1">
      <c r="A98" s="22"/>
    </row>
    <row r="99" spans="1:1">
      <c r="A99" s="22"/>
    </row>
    <row r="100" spans="1:1">
      <c r="A100" s="22"/>
    </row>
    <row r="101" spans="1:1">
      <c r="A101" s="22"/>
    </row>
    <row r="102" spans="1:1">
      <c r="A102" s="22"/>
    </row>
    <row r="103" spans="1:1">
      <c r="A103" s="22"/>
    </row>
    <row r="104" spans="1:1">
      <c r="A104" s="22"/>
    </row>
    <row r="105" spans="1:1">
      <c r="A105" s="22"/>
    </row>
    <row r="106" spans="1:1">
      <c r="A106" s="22"/>
    </row>
    <row r="107" spans="1:1">
      <c r="A107" s="22"/>
    </row>
    <row r="108" spans="1:1">
      <c r="A108" s="22"/>
    </row>
    <row r="109" spans="1:1">
      <c r="A109" s="22"/>
    </row>
    <row r="110" spans="1:1">
      <c r="A110" s="22"/>
    </row>
    <row r="111" spans="1:1">
      <c r="A111" s="22"/>
    </row>
    <row r="112" spans="1:1">
      <c r="A112" s="22"/>
    </row>
    <row r="113" spans="1:1">
      <c r="A113" s="22"/>
    </row>
    <row r="114" spans="1:1">
      <c r="A114" s="22"/>
    </row>
    <row r="115" spans="1:1">
      <c r="A115" s="22"/>
    </row>
    <row r="116" spans="1:1">
      <c r="A116" s="22"/>
    </row>
    <row r="117" spans="1:1">
      <c r="A117" s="22"/>
    </row>
    <row r="118" spans="1:1">
      <c r="A118" s="22"/>
    </row>
    <row r="119" spans="1:1">
      <c r="A119" s="22"/>
    </row>
    <row r="120" spans="1:1">
      <c r="A120" s="22"/>
    </row>
    <row r="121" spans="1:1">
      <c r="A121" s="22"/>
    </row>
    <row r="122" spans="1:1">
      <c r="A122" s="22"/>
    </row>
    <row r="123" spans="1:1">
      <c r="A123" s="22"/>
    </row>
    <row r="124" spans="1:1">
      <c r="A124" s="22"/>
    </row>
    <row r="125" spans="1:1">
      <c r="A125" s="22"/>
    </row>
    <row r="126" spans="1:1">
      <c r="A126" s="22"/>
    </row>
    <row r="127" spans="1:1">
      <c r="A127" s="22"/>
    </row>
    <row r="128" spans="1:1">
      <c r="A128" s="22"/>
    </row>
    <row r="129" spans="1:1">
      <c r="A129" s="22"/>
    </row>
    <row r="130" spans="1:1">
      <c r="A130" s="22"/>
    </row>
    <row r="131" spans="1:1">
      <c r="A131" s="22"/>
    </row>
    <row r="132" spans="1:1">
      <c r="A132" s="22"/>
    </row>
    <row r="133" spans="1:1">
      <c r="A133" s="22"/>
    </row>
    <row r="134" spans="1:1">
      <c r="A134" s="22"/>
    </row>
    <row r="135" spans="1:1">
      <c r="A135" s="22"/>
    </row>
    <row r="136" spans="1:1">
      <c r="A136" s="22"/>
    </row>
    <row r="137" spans="1:1">
      <c r="A137" s="22"/>
    </row>
    <row r="138" spans="1:1">
      <c r="A138" s="22"/>
    </row>
    <row r="139" spans="1:1">
      <c r="A139" s="22"/>
    </row>
    <row r="140" spans="1:1">
      <c r="A140" s="22"/>
    </row>
  </sheetData>
  <autoFilter ref="A9:AA76" xr:uid="{9B3FCE14-916F-44E5-ADDA-A49F8526702E}"/>
  <mergeCells count="7">
    <mergeCell ref="Y71:Z71"/>
    <mergeCell ref="Y37:Z37"/>
    <mergeCell ref="F1:M4"/>
    <mergeCell ref="A8:H8"/>
    <mergeCell ref="X8:Y8"/>
    <mergeCell ref="N8:W8"/>
    <mergeCell ref="I5:J5"/>
  </mergeCells>
  <conditionalFormatting sqref="V1:V15 V17:V22 V24:V43 V45:V70 V72:V1048576">
    <cfRule type="duplicateValues" dxfId="2" priority="4"/>
  </conditionalFormatting>
  <conditionalFormatting sqref="V16">
    <cfRule type="duplicateValues" dxfId="1" priority="1"/>
  </conditionalFormatting>
  <conditionalFormatting sqref="V44">
    <cfRule type="duplicateValues" dxfId="0" priority="2"/>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74A8-9620-416C-B444-84E90384D7A1}">
  <dimension ref="A1:I82"/>
  <sheetViews>
    <sheetView topLeftCell="A46" workbookViewId="0">
      <selection activeCell="I82" sqref="I82"/>
    </sheetView>
  </sheetViews>
  <sheetFormatPr defaultRowHeight="15"/>
  <cols>
    <col min="1" max="1" width="56.5703125" bestFit="1" customWidth="1"/>
    <col min="2" max="2" width="14.7109375" bestFit="1" customWidth="1"/>
  </cols>
  <sheetData>
    <row r="1" spans="1:9">
      <c r="A1" t="s">
        <v>324</v>
      </c>
      <c r="B1" t="s">
        <v>325</v>
      </c>
      <c r="C1" t="s">
        <v>326</v>
      </c>
      <c r="D1" t="s">
        <v>327</v>
      </c>
      <c r="E1" t="s">
        <v>328</v>
      </c>
      <c r="F1" t="s">
        <v>329</v>
      </c>
      <c r="G1" t="s">
        <v>330</v>
      </c>
      <c r="H1" t="s">
        <v>331</v>
      </c>
      <c r="I1" t="s">
        <v>332</v>
      </c>
    </row>
    <row r="2" spans="1:9">
      <c r="A2" t="s">
        <v>333</v>
      </c>
      <c r="B2" t="s">
        <v>101</v>
      </c>
      <c r="C2" t="s">
        <v>48</v>
      </c>
      <c r="E2">
        <v>15</v>
      </c>
      <c r="G2" t="s">
        <v>334</v>
      </c>
      <c r="H2" t="s">
        <v>334</v>
      </c>
      <c r="I2" t="s">
        <v>334</v>
      </c>
    </row>
    <row r="3" spans="1:9">
      <c r="A3" t="s">
        <v>335</v>
      </c>
      <c r="B3" t="s">
        <v>47</v>
      </c>
      <c r="C3" t="s">
        <v>48</v>
      </c>
      <c r="E3">
        <v>16</v>
      </c>
      <c r="G3" t="s">
        <v>334</v>
      </c>
      <c r="H3" t="s">
        <v>334</v>
      </c>
      <c r="I3" t="s">
        <v>334</v>
      </c>
    </row>
    <row r="4" spans="1:9">
      <c r="A4" t="s">
        <v>336</v>
      </c>
      <c r="B4" t="s">
        <v>71</v>
      </c>
      <c r="C4" t="s">
        <v>48</v>
      </c>
      <c r="E4">
        <v>6</v>
      </c>
      <c r="G4" t="s">
        <v>334</v>
      </c>
      <c r="H4" t="s">
        <v>334</v>
      </c>
      <c r="I4" t="s">
        <v>334</v>
      </c>
    </row>
    <row r="5" spans="1:9">
      <c r="A5" t="s">
        <v>337</v>
      </c>
      <c r="B5" t="s">
        <v>338</v>
      </c>
      <c r="C5" t="s">
        <v>42</v>
      </c>
      <c r="E5">
        <v>13</v>
      </c>
      <c r="G5" t="s">
        <v>334</v>
      </c>
      <c r="H5" t="s">
        <v>334</v>
      </c>
      <c r="I5" t="s">
        <v>334</v>
      </c>
    </row>
    <row r="6" spans="1:9">
      <c r="A6" t="s">
        <v>339</v>
      </c>
      <c r="B6" t="s">
        <v>338</v>
      </c>
      <c r="C6" t="s">
        <v>48</v>
      </c>
      <c r="E6">
        <v>67</v>
      </c>
      <c r="G6" t="s">
        <v>334</v>
      </c>
      <c r="H6" t="s">
        <v>334</v>
      </c>
      <c r="I6" t="s">
        <v>334</v>
      </c>
    </row>
    <row r="7" spans="1:9">
      <c r="A7" t="s">
        <v>340</v>
      </c>
      <c r="B7" t="s">
        <v>101</v>
      </c>
      <c r="C7" t="s">
        <v>48</v>
      </c>
      <c r="E7">
        <v>14</v>
      </c>
      <c r="G7" t="s">
        <v>334</v>
      </c>
      <c r="H7" t="s">
        <v>334</v>
      </c>
      <c r="I7" t="s">
        <v>334</v>
      </c>
    </row>
    <row r="8" spans="1:9">
      <c r="A8" t="s">
        <v>341</v>
      </c>
      <c r="B8" t="s">
        <v>91</v>
      </c>
      <c r="C8" t="s">
        <v>48</v>
      </c>
      <c r="E8">
        <v>17</v>
      </c>
      <c r="G8" t="s">
        <v>334</v>
      </c>
      <c r="H8" t="s">
        <v>334</v>
      </c>
      <c r="I8" t="s">
        <v>334</v>
      </c>
    </row>
    <row r="9" spans="1:9">
      <c r="A9" t="s">
        <v>342</v>
      </c>
      <c r="B9" t="s">
        <v>338</v>
      </c>
      <c r="C9" t="s">
        <v>42</v>
      </c>
      <c r="E9">
        <v>72</v>
      </c>
      <c r="G9" t="s">
        <v>334</v>
      </c>
      <c r="H9" t="s">
        <v>334</v>
      </c>
      <c r="I9" t="s">
        <v>334</v>
      </c>
    </row>
    <row r="10" spans="1:9">
      <c r="A10" t="s">
        <v>343</v>
      </c>
      <c r="B10" t="s">
        <v>111</v>
      </c>
      <c r="C10" t="s">
        <v>48</v>
      </c>
      <c r="E10">
        <v>18</v>
      </c>
      <c r="G10" t="s">
        <v>334</v>
      </c>
      <c r="H10" t="s">
        <v>334</v>
      </c>
      <c r="I10" t="s">
        <v>334</v>
      </c>
    </row>
    <row r="11" spans="1:9">
      <c r="A11" t="s">
        <v>344</v>
      </c>
      <c r="B11" t="s">
        <v>71</v>
      </c>
      <c r="C11" t="s">
        <v>48</v>
      </c>
      <c r="E11">
        <v>34</v>
      </c>
      <c r="G11" t="s">
        <v>334</v>
      </c>
      <c r="H11" t="s">
        <v>334</v>
      </c>
      <c r="I11" t="s">
        <v>334</v>
      </c>
    </row>
    <row r="12" spans="1:9">
      <c r="A12" t="s">
        <v>345</v>
      </c>
      <c r="B12" t="s">
        <v>59</v>
      </c>
      <c r="C12" t="s">
        <v>48</v>
      </c>
      <c r="E12">
        <v>3</v>
      </c>
      <c r="G12" t="s">
        <v>334</v>
      </c>
      <c r="H12" t="s">
        <v>334</v>
      </c>
      <c r="I12" t="s">
        <v>334</v>
      </c>
    </row>
    <row r="13" spans="1:9">
      <c r="A13" t="s">
        <v>346</v>
      </c>
      <c r="B13" t="s">
        <v>229</v>
      </c>
      <c r="C13" t="s">
        <v>48</v>
      </c>
      <c r="E13">
        <v>20</v>
      </c>
      <c r="G13" t="s">
        <v>334</v>
      </c>
      <c r="H13" t="s">
        <v>334</v>
      </c>
      <c r="I13" t="s">
        <v>334</v>
      </c>
    </row>
    <row r="14" spans="1:9">
      <c r="A14" t="s">
        <v>347</v>
      </c>
      <c r="B14" t="s">
        <v>59</v>
      </c>
      <c r="C14" t="s">
        <v>48</v>
      </c>
      <c r="E14">
        <v>5</v>
      </c>
      <c r="G14" t="s">
        <v>334</v>
      </c>
      <c r="H14" t="s">
        <v>334</v>
      </c>
      <c r="I14" t="s">
        <v>334</v>
      </c>
    </row>
    <row r="15" spans="1:9">
      <c r="A15" t="s">
        <v>348</v>
      </c>
      <c r="B15" t="s">
        <v>47</v>
      </c>
      <c r="C15" t="s">
        <v>48</v>
      </c>
      <c r="E15">
        <v>22</v>
      </c>
      <c r="G15" t="s">
        <v>334</v>
      </c>
      <c r="H15" t="s">
        <v>334</v>
      </c>
      <c r="I15" t="s">
        <v>334</v>
      </c>
    </row>
    <row r="16" spans="1:9">
      <c r="A16" t="s">
        <v>349</v>
      </c>
      <c r="B16" t="s">
        <v>47</v>
      </c>
      <c r="C16" t="s">
        <v>48</v>
      </c>
      <c r="E16">
        <v>23</v>
      </c>
      <c r="G16" t="s">
        <v>334</v>
      </c>
      <c r="H16" t="s">
        <v>334</v>
      </c>
      <c r="I16" t="s">
        <v>334</v>
      </c>
    </row>
    <row r="17" spans="1:9">
      <c r="A17" t="s">
        <v>350</v>
      </c>
      <c r="B17" t="s">
        <v>59</v>
      </c>
      <c r="C17" t="s">
        <v>48</v>
      </c>
      <c r="E17">
        <v>4</v>
      </c>
      <c r="G17" t="s">
        <v>334</v>
      </c>
      <c r="H17" t="s">
        <v>334</v>
      </c>
      <c r="I17" t="s">
        <v>334</v>
      </c>
    </row>
    <row r="18" spans="1:9">
      <c r="A18" t="s">
        <v>351</v>
      </c>
      <c r="B18" t="s">
        <v>111</v>
      </c>
      <c r="C18" t="s">
        <v>48</v>
      </c>
      <c r="E18">
        <v>37</v>
      </c>
      <c r="G18" t="s">
        <v>334</v>
      </c>
      <c r="H18" t="s">
        <v>334</v>
      </c>
      <c r="I18" t="s">
        <v>334</v>
      </c>
    </row>
    <row r="19" spans="1:9">
      <c r="A19" t="s">
        <v>352</v>
      </c>
      <c r="B19" t="s">
        <v>71</v>
      </c>
      <c r="C19" t="s">
        <v>48</v>
      </c>
      <c r="E19">
        <v>24</v>
      </c>
      <c r="G19" t="s">
        <v>334</v>
      </c>
      <c r="H19" t="s">
        <v>334</v>
      </c>
      <c r="I19" t="s">
        <v>334</v>
      </c>
    </row>
    <row r="20" spans="1:9">
      <c r="A20" t="s">
        <v>353</v>
      </c>
      <c r="B20" t="s">
        <v>71</v>
      </c>
      <c r="C20" t="s">
        <v>48</v>
      </c>
      <c r="E20">
        <v>79</v>
      </c>
      <c r="G20" t="s">
        <v>334</v>
      </c>
      <c r="H20" t="s">
        <v>334</v>
      </c>
      <c r="I20" t="s">
        <v>334</v>
      </c>
    </row>
    <row r="21" spans="1:9">
      <c r="A21" t="s">
        <v>354</v>
      </c>
      <c r="B21" t="s">
        <v>71</v>
      </c>
      <c r="C21" t="s">
        <v>48</v>
      </c>
      <c r="E21">
        <v>19</v>
      </c>
      <c r="G21" t="s">
        <v>334</v>
      </c>
      <c r="H21" t="s">
        <v>334</v>
      </c>
      <c r="I21" t="s">
        <v>334</v>
      </c>
    </row>
    <row r="22" spans="1:9">
      <c r="A22" t="s">
        <v>355</v>
      </c>
      <c r="B22" t="s">
        <v>311</v>
      </c>
      <c r="C22" t="s">
        <v>42</v>
      </c>
      <c r="E22">
        <v>63</v>
      </c>
      <c r="G22" t="s">
        <v>334</v>
      </c>
      <c r="H22" t="s">
        <v>334</v>
      </c>
      <c r="I22" t="s">
        <v>334</v>
      </c>
    </row>
    <row r="23" spans="1:9">
      <c r="A23" t="s">
        <v>356</v>
      </c>
      <c r="B23" t="s">
        <v>315</v>
      </c>
      <c r="C23" t="s">
        <v>42</v>
      </c>
      <c r="E23">
        <v>64</v>
      </c>
      <c r="G23" t="s">
        <v>334</v>
      </c>
      <c r="H23" t="s">
        <v>334</v>
      </c>
      <c r="I23" t="s">
        <v>334</v>
      </c>
    </row>
    <row r="24" spans="1:9">
      <c r="A24" t="s">
        <v>357</v>
      </c>
      <c r="B24" t="s">
        <v>118</v>
      </c>
      <c r="C24" t="s">
        <v>48</v>
      </c>
      <c r="E24">
        <v>21</v>
      </c>
      <c r="G24" t="s">
        <v>334</v>
      </c>
      <c r="H24" t="s">
        <v>334</v>
      </c>
      <c r="I24" t="s">
        <v>334</v>
      </c>
    </row>
    <row r="25" spans="1:9">
      <c r="A25" t="s">
        <v>358</v>
      </c>
      <c r="B25" t="s">
        <v>111</v>
      </c>
      <c r="C25" t="s">
        <v>48</v>
      </c>
      <c r="E25">
        <v>25</v>
      </c>
      <c r="G25" t="s">
        <v>334</v>
      </c>
      <c r="H25" t="s">
        <v>334</v>
      </c>
      <c r="I25" t="s">
        <v>334</v>
      </c>
    </row>
    <row r="26" spans="1:9">
      <c r="A26" t="s">
        <v>359</v>
      </c>
      <c r="B26" t="s">
        <v>71</v>
      </c>
      <c r="C26" t="s">
        <v>48</v>
      </c>
      <c r="E26">
        <v>80</v>
      </c>
      <c r="G26" t="s">
        <v>334</v>
      </c>
      <c r="H26" t="s">
        <v>334</v>
      </c>
      <c r="I26" t="s">
        <v>334</v>
      </c>
    </row>
    <row r="27" spans="1:9">
      <c r="A27" t="s">
        <v>360</v>
      </c>
      <c r="B27" t="s">
        <v>91</v>
      </c>
      <c r="C27" t="s">
        <v>48</v>
      </c>
      <c r="E27">
        <v>12</v>
      </c>
      <c r="G27" t="s">
        <v>334</v>
      </c>
      <c r="H27" t="s">
        <v>334</v>
      </c>
      <c r="I27" t="s">
        <v>334</v>
      </c>
    </row>
    <row r="28" spans="1:9">
      <c r="A28" t="s">
        <v>361</v>
      </c>
      <c r="B28" t="s">
        <v>338</v>
      </c>
      <c r="C28" t="s">
        <v>42</v>
      </c>
      <c r="E28">
        <v>70</v>
      </c>
      <c r="G28" t="s">
        <v>334</v>
      </c>
      <c r="H28" t="s">
        <v>334</v>
      </c>
      <c r="I28" t="s">
        <v>334</v>
      </c>
    </row>
    <row r="29" spans="1:9">
      <c r="A29" t="s">
        <v>362</v>
      </c>
      <c r="B29" t="s">
        <v>91</v>
      </c>
      <c r="C29" t="s">
        <v>42</v>
      </c>
      <c r="E29">
        <v>11</v>
      </c>
      <c r="G29" t="s">
        <v>334</v>
      </c>
      <c r="H29" t="s">
        <v>334</v>
      </c>
      <c r="I29" t="s">
        <v>334</v>
      </c>
    </row>
    <row r="30" spans="1:9">
      <c r="A30" t="s">
        <v>363</v>
      </c>
      <c r="B30" t="s">
        <v>338</v>
      </c>
      <c r="C30" t="s">
        <v>42</v>
      </c>
      <c r="E30">
        <v>71</v>
      </c>
      <c r="G30" t="s">
        <v>334</v>
      </c>
      <c r="H30" t="s">
        <v>334</v>
      </c>
      <c r="I30" t="s">
        <v>334</v>
      </c>
    </row>
    <row r="31" spans="1:9">
      <c r="A31" t="s">
        <v>364</v>
      </c>
      <c r="B31" t="s">
        <v>111</v>
      </c>
      <c r="C31" t="s">
        <v>48</v>
      </c>
      <c r="E31">
        <v>26</v>
      </c>
      <c r="G31" t="s">
        <v>334</v>
      </c>
      <c r="H31" t="s">
        <v>334</v>
      </c>
      <c r="I31" t="s">
        <v>334</v>
      </c>
    </row>
    <row r="32" spans="1:9">
      <c r="A32" t="s">
        <v>365</v>
      </c>
      <c r="B32" t="s">
        <v>111</v>
      </c>
      <c r="C32" t="s">
        <v>48</v>
      </c>
      <c r="E32">
        <v>27</v>
      </c>
      <c r="G32" t="s">
        <v>334</v>
      </c>
      <c r="H32" t="s">
        <v>334</v>
      </c>
      <c r="I32" t="s">
        <v>334</v>
      </c>
    </row>
    <row r="33" spans="1:9">
      <c r="A33" t="s">
        <v>366</v>
      </c>
      <c r="B33" t="s">
        <v>91</v>
      </c>
      <c r="C33" t="s">
        <v>48</v>
      </c>
      <c r="E33">
        <v>28</v>
      </c>
      <c r="G33" t="s">
        <v>334</v>
      </c>
      <c r="H33" t="s">
        <v>334</v>
      </c>
      <c r="I33" t="s">
        <v>334</v>
      </c>
    </row>
    <row r="34" spans="1:9">
      <c r="A34" t="s">
        <v>367</v>
      </c>
      <c r="B34" t="s">
        <v>338</v>
      </c>
      <c r="C34" t="s">
        <v>42</v>
      </c>
      <c r="E34">
        <v>73</v>
      </c>
      <c r="G34" t="s">
        <v>334</v>
      </c>
      <c r="H34" t="s">
        <v>334</v>
      </c>
      <c r="I34" t="s">
        <v>334</v>
      </c>
    </row>
    <row r="35" spans="1:9">
      <c r="A35" t="s">
        <v>368</v>
      </c>
      <c r="B35" t="s">
        <v>311</v>
      </c>
      <c r="C35" t="s">
        <v>42</v>
      </c>
      <c r="E35">
        <v>68</v>
      </c>
      <c r="G35" t="s">
        <v>334</v>
      </c>
      <c r="H35" t="s">
        <v>334</v>
      </c>
      <c r="I35" t="s">
        <v>334</v>
      </c>
    </row>
    <row r="36" spans="1:9">
      <c r="A36" t="s">
        <v>369</v>
      </c>
      <c r="B36" t="s">
        <v>315</v>
      </c>
      <c r="C36" t="s">
        <v>42</v>
      </c>
      <c r="E36">
        <v>69</v>
      </c>
      <c r="G36" t="s">
        <v>334</v>
      </c>
      <c r="H36" t="s">
        <v>334</v>
      </c>
      <c r="I36" t="s">
        <v>334</v>
      </c>
    </row>
    <row r="37" spans="1:9">
      <c r="A37" t="s">
        <v>370</v>
      </c>
      <c r="B37" t="s">
        <v>111</v>
      </c>
      <c r="C37" t="s">
        <v>48</v>
      </c>
      <c r="E37">
        <v>32</v>
      </c>
      <c r="G37" t="s">
        <v>334</v>
      </c>
      <c r="H37" t="s">
        <v>334</v>
      </c>
      <c r="I37" t="s">
        <v>334</v>
      </c>
    </row>
    <row r="38" spans="1:9">
      <c r="A38" t="s">
        <v>371</v>
      </c>
      <c r="B38" t="s">
        <v>71</v>
      </c>
      <c r="C38" t="s">
        <v>48</v>
      </c>
      <c r="E38">
        <v>30</v>
      </c>
      <c r="G38" t="s">
        <v>334</v>
      </c>
      <c r="H38" t="s">
        <v>334</v>
      </c>
      <c r="I38" t="s">
        <v>334</v>
      </c>
    </row>
    <row r="39" spans="1:9">
      <c r="A39" t="s">
        <v>372</v>
      </c>
      <c r="B39" t="s">
        <v>71</v>
      </c>
      <c r="C39" t="s">
        <v>48</v>
      </c>
      <c r="E39">
        <v>31</v>
      </c>
      <c r="G39" t="s">
        <v>334</v>
      </c>
      <c r="H39" t="s">
        <v>334</v>
      </c>
      <c r="I39" t="s">
        <v>334</v>
      </c>
    </row>
    <row r="40" spans="1:9">
      <c r="A40" t="s">
        <v>373</v>
      </c>
      <c r="B40" t="s">
        <v>71</v>
      </c>
      <c r="C40" t="s">
        <v>48</v>
      </c>
      <c r="E40">
        <v>33</v>
      </c>
      <c r="G40" t="s">
        <v>334</v>
      </c>
      <c r="H40" t="s">
        <v>334</v>
      </c>
      <c r="I40" t="s">
        <v>334</v>
      </c>
    </row>
    <row r="41" spans="1:9">
      <c r="A41" t="s">
        <v>374</v>
      </c>
      <c r="B41" t="s">
        <v>71</v>
      </c>
      <c r="C41" t="s">
        <v>48</v>
      </c>
      <c r="E41">
        <v>81</v>
      </c>
      <c r="G41" t="s">
        <v>334</v>
      </c>
      <c r="H41" t="s">
        <v>334</v>
      </c>
      <c r="I41" t="s">
        <v>334</v>
      </c>
    </row>
    <row r="42" spans="1:9">
      <c r="A42" t="s">
        <v>375</v>
      </c>
      <c r="B42" t="s">
        <v>111</v>
      </c>
      <c r="C42" t="s">
        <v>48</v>
      </c>
      <c r="E42">
        <v>35</v>
      </c>
      <c r="G42" t="s">
        <v>334</v>
      </c>
      <c r="H42" t="s">
        <v>334</v>
      </c>
      <c r="I42" t="s">
        <v>334</v>
      </c>
    </row>
    <row r="43" spans="1:9">
      <c r="A43" t="s">
        <v>376</v>
      </c>
      <c r="B43" t="s">
        <v>338</v>
      </c>
      <c r="C43" t="s">
        <v>42</v>
      </c>
      <c r="E43">
        <v>1</v>
      </c>
      <c r="G43" t="s">
        <v>334</v>
      </c>
      <c r="H43" t="s">
        <v>334</v>
      </c>
      <c r="I43" t="s">
        <v>334</v>
      </c>
    </row>
    <row r="44" spans="1:9">
      <c r="A44" t="s">
        <v>377</v>
      </c>
      <c r="B44" t="s">
        <v>47</v>
      </c>
      <c r="C44" t="s">
        <v>48</v>
      </c>
      <c r="E44">
        <v>36</v>
      </c>
      <c r="G44" t="s">
        <v>334</v>
      </c>
      <c r="H44" t="s">
        <v>334</v>
      </c>
      <c r="I44" t="s">
        <v>334</v>
      </c>
    </row>
    <row r="45" spans="1:9">
      <c r="A45" t="s">
        <v>378</v>
      </c>
      <c r="B45" t="s">
        <v>191</v>
      </c>
      <c r="C45" t="s">
        <v>48</v>
      </c>
      <c r="E45">
        <v>38</v>
      </c>
      <c r="G45" t="s">
        <v>334</v>
      </c>
      <c r="H45" t="s">
        <v>334</v>
      </c>
      <c r="I45" t="s">
        <v>334</v>
      </c>
    </row>
    <row r="46" spans="1:9">
      <c r="A46" t="s">
        <v>379</v>
      </c>
      <c r="B46" t="s">
        <v>111</v>
      </c>
      <c r="C46" t="s">
        <v>48</v>
      </c>
      <c r="E46">
        <v>39</v>
      </c>
      <c r="G46" t="s">
        <v>334</v>
      </c>
      <c r="H46" t="s">
        <v>334</v>
      </c>
      <c r="I46" t="s">
        <v>334</v>
      </c>
    </row>
    <row r="47" spans="1:9">
      <c r="A47" t="s">
        <v>380</v>
      </c>
      <c r="B47" t="s">
        <v>111</v>
      </c>
      <c r="C47" t="s">
        <v>48</v>
      </c>
      <c r="E47">
        <v>40</v>
      </c>
      <c r="G47" t="s">
        <v>334</v>
      </c>
      <c r="H47" t="s">
        <v>334</v>
      </c>
      <c r="I47" t="s">
        <v>334</v>
      </c>
    </row>
    <row r="48" spans="1:9">
      <c r="A48" t="s">
        <v>381</v>
      </c>
      <c r="B48" t="s">
        <v>191</v>
      </c>
      <c r="C48" t="s">
        <v>48</v>
      </c>
      <c r="E48">
        <v>41</v>
      </c>
      <c r="G48" t="s">
        <v>334</v>
      </c>
      <c r="H48" t="s">
        <v>334</v>
      </c>
      <c r="I48" t="s">
        <v>334</v>
      </c>
    </row>
    <row r="49" spans="1:9">
      <c r="A49" t="s">
        <v>382</v>
      </c>
      <c r="B49" t="s">
        <v>91</v>
      </c>
      <c r="C49" t="s">
        <v>48</v>
      </c>
      <c r="E49">
        <v>29</v>
      </c>
      <c r="G49" t="s">
        <v>334</v>
      </c>
      <c r="H49" t="s">
        <v>334</v>
      </c>
      <c r="I49" t="s">
        <v>334</v>
      </c>
    </row>
    <row r="50" spans="1:9">
      <c r="A50" t="s">
        <v>383</v>
      </c>
      <c r="B50" t="s">
        <v>338</v>
      </c>
      <c r="C50" t="s">
        <v>42</v>
      </c>
      <c r="E50">
        <v>76</v>
      </c>
      <c r="G50" t="s">
        <v>334</v>
      </c>
      <c r="H50" t="s">
        <v>334</v>
      </c>
      <c r="I50" t="s">
        <v>334</v>
      </c>
    </row>
    <row r="51" spans="1:9">
      <c r="A51" t="s">
        <v>384</v>
      </c>
      <c r="B51" t="s">
        <v>111</v>
      </c>
      <c r="C51" t="s">
        <v>48</v>
      </c>
      <c r="E51">
        <v>42</v>
      </c>
      <c r="G51" t="s">
        <v>334</v>
      </c>
      <c r="H51" t="s">
        <v>334</v>
      </c>
      <c r="I51" t="s">
        <v>334</v>
      </c>
    </row>
    <row r="52" spans="1:9">
      <c r="A52" t="s">
        <v>385</v>
      </c>
      <c r="B52" t="s">
        <v>111</v>
      </c>
      <c r="C52" t="s">
        <v>48</v>
      </c>
      <c r="E52">
        <v>43</v>
      </c>
      <c r="G52" t="s">
        <v>334</v>
      </c>
      <c r="H52" t="s">
        <v>334</v>
      </c>
      <c r="I52" t="s">
        <v>334</v>
      </c>
    </row>
    <row r="53" spans="1:9">
      <c r="A53" t="s">
        <v>386</v>
      </c>
      <c r="B53" t="s">
        <v>71</v>
      </c>
      <c r="C53" t="s">
        <v>48</v>
      </c>
      <c r="E53">
        <v>45</v>
      </c>
      <c r="G53" t="s">
        <v>334</v>
      </c>
      <c r="H53" t="s">
        <v>334</v>
      </c>
      <c r="I53" t="s">
        <v>334</v>
      </c>
    </row>
    <row r="54" spans="1:9">
      <c r="A54" t="s">
        <v>387</v>
      </c>
      <c r="B54" t="s">
        <v>91</v>
      </c>
      <c r="C54" t="s">
        <v>48</v>
      </c>
      <c r="E54">
        <v>46</v>
      </c>
      <c r="G54" t="s">
        <v>334</v>
      </c>
      <c r="H54" t="s">
        <v>334</v>
      </c>
      <c r="I54" t="s">
        <v>334</v>
      </c>
    </row>
    <row r="55" spans="1:9">
      <c r="A55" t="s">
        <v>388</v>
      </c>
      <c r="B55" t="s">
        <v>338</v>
      </c>
      <c r="C55" t="s">
        <v>42</v>
      </c>
      <c r="E55">
        <v>74</v>
      </c>
      <c r="G55" t="s">
        <v>334</v>
      </c>
      <c r="H55" t="s">
        <v>334</v>
      </c>
      <c r="I55" t="s">
        <v>334</v>
      </c>
    </row>
    <row r="56" spans="1:9">
      <c r="A56" t="s">
        <v>389</v>
      </c>
      <c r="B56" t="s">
        <v>91</v>
      </c>
      <c r="C56" t="s">
        <v>48</v>
      </c>
      <c r="E56">
        <v>47</v>
      </c>
      <c r="G56" t="s">
        <v>334</v>
      </c>
      <c r="H56" t="s">
        <v>334</v>
      </c>
      <c r="I56" t="s">
        <v>334</v>
      </c>
    </row>
    <row r="57" spans="1:9">
      <c r="A57" t="s">
        <v>390</v>
      </c>
      <c r="B57" t="s">
        <v>47</v>
      </c>
      <c r="C57" t="s">
        <v>48</v>
      </c>
      <c r="E57">
        <v>44</v>
      </c>
      <c r="G57" t="s">
        <v>334</v>
      </c>
      <c r="H57" t="s">
        <v>334</v>
      </c>
      <c r="I57" t="s">
        <v>334</v>
      </c>
    </row>
    <row r="58" spans="1:9">
      <c r="A58" t="s">
        <v>391</v>
      </c>
      <c r="B58" t="s">
        <v>47</v>
      </c>
      <c r="C58" t="s">
        <v>48</v>
      </c>
      <c r="E58">
        <v>2</v>
      </c>
      <c r="G58" t="s">
        <v>334</v>
      </c>
      <c r="H58" t="s">
        <v>334</v>
      </c>
      <c r="I58" t="s">
        <v>334</v>
      </c>
    </row>
    <row r="59" spans="1:9">
      <c r="A59" t="s">
        <v>392</v>
      </c>
      <c r="B59" t="s">
        <v>338</v>
      </c>
      <c r="C59" t="s">
        <v>42</v>
      </c>
      <c r="E59">
        <v>77</v>
      </c>
      <c r="G59" t="s">
        <v>334</v>
      </c>
      <c r="H59" t="s">
        <v>334</v>
      </c>
      <c r="I59" t="s">
        <v>334</v>
      </c>
    </row>
    <row r="60" spans="1:9">
      <c r="A60" t="s">
        <v>393</v>
      </c>
      <c r="B60" t="s">
        <v>338</v>
      </c>
      <c r="C60" t="s">
        <v>48</v>
      </c>
      <c r="E60">
        <v>65</v>
      </c>
      <c r="G60" t="s">
        <v>334</v>
      </c>
      <c r="H60" t="s">
        <v>334</v>
      </c>
      <c r="I60" t="s">
        <v>334</v>
      </c>
    </row>
    <row r="61" spans="1:9">
      <c r="A61" t="s">
        <v>394</v>
      </c>
      <c r="B61" t="s">
        <v>286</v>
      </c>
      <c r="C61" t="s">
        <v>48</v>
      </c>
      <c r="E61">
        <v>66</v>
      </c>
      <c r="G61" t="s">
        <v>334</v>
      </c>
      <c r="H61" t="s">
        <v>334</v>
      </c>
      <c r="I61" t="s">
        <v>334</v>
      </c>
    </row>
    <row r="62" spans="1:9">
      <c r="A62" t="s">
        <v>395</v>
      </c>
      <c r="B62" t="s">
        <v>111</v>
      </c>
      <c r="C62" t="s">
        <v>48</v>
      </c>
      <c r="E62">
        <v>57</v>
      </c>
      <c r="G62" t="s">
        <v>334</v>
      </c>
      <c r="H62" t="s">
        <v>334</v>
      </c>
      <c r="I62" t="s">
        <v>334</v>
      </c>
    </row>
    <row r="63" spans="1:9">
      <c r="A63" t="s">
        <v>396</v>
      </c>
      <c r="B63" t="s">
        <v>111</v>
      </c>
      <c r="C63" t="s">
        <v>48</v>
      </c>
      <c r="E63">
        <v>60</v>
      </c>
      <c r="G63" t="s">
        <v>334</v>
      </c>
      <c r="H63" t="s">
        <v>334</v>
      </c>
      <c r="I63" t="s">
        <v>334</v>
      </c>
    </row>
    <row r="64" spans="1:9">
      <c r="A64" t="s">
        <v>397</v>
      </c>
      <c r="B64" t="s">
        <v>111</v>
      </c>
      <c r="C64" t="s">
        <v>48</v>
      </c>
      <c r="E64">
        <v>56</v>
      </c>
      <c r="G64" t="s">
        <v>334</v>
      </c>
      <c r="H64" t="s">
        <v>334</v>
      </c>
      <c r="I64" t="s">
        <v>334</v>
      </c>
    </row>
    <row r="65" spans="1:9">
      <c r="A65" t="s">
        <v>398</v>
      </c>
      <c r="B65" t="s">
        <v>111</v>
      </c>
      <c r="C65" t="s">
        <v>48</v>
      </c>
      <c r="E65">
        <v>58</v>
      </c>
      <c r="G65" t="s">
        <v>334</v>
      </c>
      <c r="H65" t="s">
        <v>334</v>
      </c>
      <c r="I65" t="s">
        <v>334</v>
      </c>
    </row>
    <row r="66" spans="1:9">
      <c r="A66" t="s">
        <v>399</v>
      </c>
      <c r="B66" t="s">
        <v>111</v>
      </c>
      <c r="C66" t="s">
        <v>48</v>
      </c>
      <c r="E66">
        <v>59</v>
      </c>
      <c r="G66" t="s">
        <v>334</v>
      </c>
      <c r="H66" t="s">
        <v>334</v>
      </c>
      <c r="I66" t="s">
        <v>334</v>
      </c>
    </row>
    <row r="67" spans="1:9">
      <c r="A67" t="s">
        <v>400</v>
      </c>
      <c r="B67" t="s">
        <v>276</v>
      </c>
      <c r="C67" t="s">
        <v>48</v>
      </c>
      <c r="E67">
        <v>61</v>
      </c>
      <c r="G67" t="s">
        <v>334</v>
      </c>
      <c r="H67" t="s">
        <v>334</v>
      </c>
      <c r="I67" t="s">
        <v>334</v>
      </c>
    </row>
    <row r="68" spans="1:9">
      <c r="A68" t="s">
        <v>401</v>
      </c>
      <c r="B68" t="s">
        <v>111</v>
      </c>
      <c r="C68" t="s">
        <v>48</v>
      </c>
      <c r="E68">
        <v>62</v>
      </c>
      <c r="G68" t="s">
        <v>334</v>
      </c>
      <c r="H68" t="s">
        <v>334</v>
      </c>
      <c r="I68" t="s">
        <v>334</v>
      </c>
    </row>
    <row r="69" spans="1:9">
      <c r="A69" t="s">
        <v>402</v>
      </c>
      <c r="B69" t="s">
        <v>111</v>
      </c>
      <c r="C69" t="s">
        <v>48</v>
      </c>
      <c r="E69">
        <v>52</v>
      </c>
      <c r="G69" t="s">
        <v>334</v>
      </c>
      <c r="H69" t="s">
        <v>334</v>
      </c>
      <c r="I69" t="s">
        <v>334</v>
      </c>
    </row>
    <row r="70" spans="1:9">
      <c r="A70" t="s">
        <v>403</v>
      </c>
      <c r="B70" t="s">
        <v>77</v>
      </c>
      <c r="C70" t="s">
        <v>48</v>
      </c>
      <c r="E70">
        <v>7</v>
      </c>
      <c r="G70" t="s">
        <v>334</v>
      </c>
      <c r="H70" t="s">
        <v>334</v>
      </c>
      <c r="I70" t="s">
        <v>334</v>
      </c>
    </row>
    <row r="71" spans="1:9">
      <c r="A71" t="s">
        <v>404</v>
      </c>
      <c r="B71" t="s">
        <v>338</v>
      </c>
      <c r="C71" t="s">
        <v>48</v>
      </c>
      <c r="E71">
        <v>10</v>
      </c>
      <c r="G71" t="s">
        <v>334</v>
      </c>
      <c r="H71" t="s">
        <v>334</v>
      </c>
      <c r="I71" t="s">
        <v>334</v>
      </c>
    </row>
    <row r="72" spans="1:9">
      <c r="A72" t="s">
        <v>405</v>
      </c>
      <c r="B72" t="s">
        <v>47</v>
      </c>
      <c r="C72" t="s">
        <v>48</v>
      </c>
      <c r="E72">
        <v>8</v>
      </c>
      <c r="G72" t="s">
        <v>334</v>
      </c>
      <c r="H72" t="s">
        <v>334</v>
      </c>
      <c r="I72" t="s">
        <v>334</v>
      </c>
    </row>
    <row r="73" spans="1:9">
      <c r="A73" t="s">
        <v>406</v>
      </c>
      <c r="B73" t="s">
        <v>338</v>
      </c>
      <c r="C73" t="s">
        <v>48</v>
      </c>
      <c r="E73">
        <v>9</v>
      </c>
      <c r="G73" t="s">
        <v>334</v>
      </c>
      <c r="H73" t="s">
        <v>334</v>
      </c>
      <c r="I73" t="s">
        <v>334</v>
      </c>
    </row>
    <row r="74" spans="1:9">
      <c r="A74" t="s">
        <v>407</v>
      </c>
      <c r="B74" t="s">
        <v>101</v>
      </c>
      <c r="C74" t="s">
        <v>48</v>
      </c>
      <c r="E74">
        <v>78</v>
      </c>
      <c r="G74" t="s">
        <v>334</v>
      </c>
      <c r="H74" t="s">
        <v>334</v>
      </c>
      <c r="I74" t="s">
        <v>334</v>
      </c>
    </row>
    <row r="75" spans="1:9">
      <c r="A75" t="s">
        <v>408</v>
      </c>
      <c r="B75" t="s">
        <v>229</v>
      </c>
      <c r="C75" t="s">
        <v>48</v>
      </c>
      <c r="E75">
        <v>48</v>
      </c>
      <c r="G75" t="s">
        <v>334</v>
      </c>
      <c r="H75" t="s">
        <v>334</v>
      </c>
      <c r="I75" t="s">
        <v>334</v>
      </c>
    </row>
    <row r="76" spans="1:9">
      <c r="A76" t="s">
        <v>409</v>
      </c>
      <c r="B76" t="s">
        <v>91</v>
      </c>
      <c r="C76" t="s">
        <v>48</v>
      </c>
      <c r="E76">
        <v>49</v>
      </c>
      <c r="G76" t="s">
        <v>334</v>
      </c>
      <c r="H76" t="s">
        <v>334</v>
      </c>
      <c r="I76" t="s">
        <v>334</v>
      </c>
    </row>
    <row r="77" spans="1:9">
      <c r="A77" t="s">
        <v>410</v>
      </c>
      <c r="B77" t="s">
        <v>338</v>
      </c>
      <c r="C77" t="s">
        <v>42</v>
      </c>
      <c r="E77">
        <v>75</v>
      </c>
      <c r="G77" t="s">
        <v>334</v>
      </c>
      <c r="H77" t="s">
        <v>334</v>
      </c>
      <c r="I77" t="s">
        <v>334</v>
      </c>
    </row>
    <row r="78" spans="1:9">
      <c r="A78" t="s">
        <v>411</v>
      </c>
      <c r="B78" t="s">
        <v>47</v>
      </c>
      <c r="C78" t="s">
        <v>48</v>
      </c>
      <c r="E78">
        <v>50</v>
      </c>
      <c r="G78" t="s">
        <v>334</v>
      </c>
      <c r="H78" t="s">
        <v>334</v>
      </c>
      <c r="I78" t="s">
        <v>334</v>
      </c>
    </row>
    <row r="79" spans="1:9">
      <c r="A79" t="s">
        <v>412</v>
      </c>
      <c r="B79" t="s">
        <v>111</v>
      </c>
      <c r="C79" t="s">
        <v>48</v>
      </c>
      <c r="E79">
        <v>51</v>
      </c>
      <c r="G79" t="s">
        <v>334</v>
      </c>
      <c r="H79" t="s">
        <v>334</v>
      </c>
      <c r="I79" t="s">
        <v>334</v>
      </c>
    </row>
    <row r="80" spans="1:9">
      <c r="A80" t="s">
        <v>413</v>
      </c>
      <c r="B80" t="s">
        <v>71</v>
      </c>
      <c r="C80" t="s">
        <v>48</v>
      </c>
      <c r="E80">
        <v>53</v>
      </c>
      <c r="G80" t="s">
        <v>334</v>
      </c>
      <c r="H80" t="s">
        <v>334</v>
      </c>
      <c r="I80" t="s">
        <v>334</v>
      </c>
    </row>
    <row r="81" spans="1:9">
      <c r="A81" t="s">
        <v>414</v>
      </c>
      <c r="B81" t="s">
        <v>101</v>
      </c>
      <c r="C81" t="s">
        <v>48</v>
      </c>
      <c r="E81">
        <v>55</v>
      </c>
      <c r="G81" t="s">
        <v>334</v>
      </c>
      <c r="H81" t="s">
        <v>334</v>
      </c>
      <c r="I81" t="s">
        <v>334</v>
      </c>
    </row>
    <row r="82" spans="1:9">
      <c r="A82" t="s">
        <v>415</v>
      </c>
      <c r="B82" t="s">
        <v>252</v>
      </c>
      <c r="C82" t="s">
        <v>48</v>
      </c>
      <c r="E82">
        <v>54</v>
      </c>
      <c r="G82" t="s">
        <v>334</v>
      </c>
      <c r="H82" t="s">
        <v>334</v>
      </c>
      <c r="I82" t="s">
        <v>334</v>
      </c>
    </row>
  </sheetData>
  <autoFilter ref="A1:I82" xr:uid="{81FF74A8-9620-416C-B444-84E90384D7A1}"/>
  <sortState xmlns:xlrd2="http://schemas.microsoft.com/office/spreadsheetml/2017/richdata2" ref="A2:I82">
    <sortCondition ref="A2:A8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41D2-CF4E-4E69-8F6D-FB28100AEA2A}">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5F5E-09A9-4D45-98B6-473C23F1D634}">
  <dimension ref="A1"/>
  <sheetViews>
    <sheetView workbookViewId="0">
      <selection activeCell="E36" sqref="E36"/>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A5"/>
  <sheetViews>
    <sheetView workbookViewId="0">
      <selection activeCell="A6" sqref="A6"/>
    </sheetView>
  </sheetViews>
  <sheetFormatPr defaultRowHeight="15"/>
  <cols>
    <col min="1" max="1" width="39.7109375" bestFit="1" customWidth="1"/>
  </cols>
  <sheetData>
    <row r="1" spans="1:1">
      <c r="A1" s="15" t="s">
        <v>416</v>
      </c>
    </row>
    <row r="2" spans="1:1">
      <c r="A2" s="15" t="s">
        <v>5</v>
      </c>
    </row>
    <row r="3" spans="1:1">
      <c r="A3" s="15" t="s">
        <v>417</v>
      </c>
    </row>
    <row r="4" spans="1:1">
      <c r="A4" s="15" t="s">
        <v>418</v>
      </c>
    </row>
    <row r="5" spans="1:1">
      <c r="A5" s="16" t="s">
        <v>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40B8-EF78-4766-9060-74B30AC34ED0}">
  <dimension ref="A1:J104"/>
  <sheetViews>
    <sheetView topLeftCell="B12" workbookViewId="0">
      <selection activeCell="J13" sqref="J13"/>
    </sheetView>
  </sheetViews>
  <sheetFormatPr defaultRowHeight="15"/>
  <cols>
    <col min="1" max="1" width="42.7109375" customWidth="1"/>
    <col min="3" max="3" width="58.140625" customWidth="1"/>
    <col min="4" max="4" width="34.42578125" customWidth="1"/>
    <col min="5" max="5" width="79.85546875" customWidth="1"/>
  </cols>
  <sheetData>
    <row r="1" spans="1:10" ht="15.75">
      <c r="A1" s="36" t="s">
        <v>420</v>
      </c>
      <c r="B1" s="36" t="s">
        <v>421</v>
      </c>
      <c r="C1" s="36" t="s">
        <v>422</v>
      </c>
      <c r="D1" s="36" t="s">
        <v>423</v>
      </c>
      <c r="E1" s="36" t="s">
        <v>424</v>
      </c>
      <c r="F1" s="36" t="s">
        <v>425</v>
      </c>
      <c r="G1" s="36" t="s">
        <v>426</v>
      </c>
      <c r="H1" s="36" t="s">
        <v>427</v>
      </c>
    </row>
    <row r="2" spans="1:10" ht="153.75">
      <c r="A2" s="26" t="s">
        <v>428</v>
      </c>
      <c r="B2" s="26" t="s">
        <v>429</v>
      </c>
      <c r="C2" s="26" t="s">
        <v>430</v>
      </c>
      <c r="D2" s="26" t="s">
        <v>431</v>
      </c>
      <c r="E2" s="35" t="s">
        <v>432</v>
      </c>
      <c r="F2" s="26" t="s">
        <v>433</v>
      </c>
      <c r="G2" s="26" t="s">
        <v>101</v>
      </c>
      <c r="H2" s="26" t="s">
        <v>160</v>
      </c>
      <c r="I2" s="26"/>
      <c r="J2" s="26">
        <v>17</v>
      </c>
    </row>
    <row r="3" spans="1:10" ht="153.75">
      <c r="A3" s="26" t="s">
        <v>428</v>
      </c>
      <c r="B3" s="26" t="s">
        <v>429</v>
      </c>
      <c r="C3" s="26" t="s">
        <v>434</v>
      </c>
      <c r="D3" s="26" t="s">
        <v>435</v>
      </c>
      <c r="E3" s="35" t="s">
        <v>436</v>
      </c>
      <c r="F3" s="26" t="s">
        <v>437</v>
      </c>
      <c r="G3" s="26" t="s">
        <v>47</v>
      </c>
      <c r="H3" s="26" t="s">
        <v>160</v>
      </c>
      <c r="I3" s="26"/>
      <c r="J3" s="26">
        <v>18</v>
      </c>
    </row>
    <row r="4" spans="1:10" ht="141">
      <c r="A4" s="26" t="s">
        <v>428</v>
      </c>
      <c r="B4" s="26" t="s">
        <v>429</v>
      </c>
      <c r="C4" s="26" t="s">
        <v>69</v>
      </c>
      <c r="D4" s="26" t="s">
        <v>70</v>
      </c>
      <c r="E4" s="35" t="s">
        <v>438</v>
      </c>
      <c r="F4" s="26" t="s">
        <v>439</v>
      </c>
      <c r="G4" s="26" t="s">
        <v>71</v>
      </c>
      <c r="H4" s="26" t="s">
        <v>160</v>
      </c>
      <c r="I4" s="26"/>
      <c r="J4" s="26">
        <v>8</v>
      </c>
    </row>
    <row r="5" spans="1:10" ht="64.5">
      <c r="A5" s="26" t="s">
        <v>428</v>
      </c>
      <c r="B5" s="26" t="s">
        <v>429</v>
      </c>
      <c r="C5" s="26" t="s">
        <v>440</v>
      </c>
      <c r="D5" s="26" t="s">
        <v>441</v>
      </c>
      <c r="E5" s="35" t="s">
        <v>442</v>
      </c>
      <c r="F5" s="26" t="s">
        <v>443</v>
      </c>
      <c r="G5" s="26" t="s">
        <v>41</v>
      </c>
      <c r="H5" s="26" t="s">
        <v>160</v>
      </c>
      <c r="I5" s="26"/>
      <c r="J5" s="26">
        <v>15</v>
      </c>
    </row>
    <row r="6" spans="1:10" ht="64.5">
      <c r="A6" s="26" t="s">
        <v>428</v>
      </c>
      <c r="B6" s="26" t="s">
        <v>429</v>
      </c>
      <c r="C6" s="26" t="s">
        <v>290</v>
      </c>
      <c r="D6" s="26" t="s">
        <v>291</v>
      </c>
      <c r="E6" s="35" t="s">
        <v>444</v>
      </c>
      <c r="F6" s="26" t="s">
        <v>443</v>
      </c>
      <c r="G6" s="26" t="s">
        <v>41</v>
      </c>
      <c r="H6" s="26" t="s">
        <v>160</v>
      </c>
      <c r="I6" s="26"/>
      <c r="J6" s="26">
        <v>68</v>
      </c>
    </row>
    <row r="7" spans="1:10" ht="77.25">
      <c r="A7" s="26" t="s">
        <v>428</v>
      </c>
      <c r="B7" s="26" t="s">
        <v>429</v>
      </c>
      <c r="C7" s="26" t="s">
        <v>99</v>
      </c>
      <c r="D7" s="26" t="s">
        <v>100</v>
      </c>
      <c r="E7" s="35" t="s">
        <v>445</v>
      </c>
      <c r="F7" s="26" t="s">
        <v>433</v>
      </c>
      <c r="G7" s="26" t="s">
        <v>101</v>
      </c>
      <c r="H7" s="26" t="s">
        <v>160</v>
      </c>
      <c r="I7" s="26"/>
      <c r="J7" s="26">
        <v>16</v>
      </c>
    </row>
    <row r="8" spans="1:10" ht="64.5">
      <c r="A8" s="26" t="s">
        <v>428</v>
      </c>
      <c r="B8" s="26" t="s">
        <v>429</v>
      </c>
      <c r="C8" s="26" t="s">
        <v>106</v>
      </c>
      <c r="D8" s="26" t="s">
        <v>107</v>
      </c>
      <c r="E8" s="35" t="s">
        <v>446</v>
      </c>
      <c r="F8" s="26" t="s">
        <v>447</v>
      </c>
      <c r="G8" s="26" t="s">
        <v>91</v>
      </c>
      <c r="H8" s="26" t="s">
        <v>160</v>
      </c>
      <c r="I8" s="26"/>
      <c r="J8" s="26">
        <v>19</v>
      </c>
    </row>
    <row r="9" spans="1:10">
      <c r="A9" s="26" t="s">
        <v>428</v>
      </c>
      <c r="B9" s="26" t="s">
        <v>429</v>
      </c>
      <c r="C9" s="26" t="s">
        <v>448</v>
      </c>
      <c r="D9" s="26" t="s">
        <v>449</v>
      </c>
      <c r="E9" s="26" t="s">
        <v>450</v>
      </c>
      <c r="F9" s="26" t="s">
        <v>443</v>
      </c>
      <c r="G9" s="26" t="s">
        <v>41</v>
      </c>
      <c r="H9" s="26" t="s">
        <v>451</v>
      </c>
      <c r="I9" s="26"/>
      <c r="J9" s="26">
        <v>80</v>
      </c>
    </row>
    <row r="10" spans="1:10" ht="77.25">
      <c r="A10" s="26" t="s">
        <v>428</v>
      </c>
      <c r="B10" s="26" t="s">
        <v>429</v>
      </c>
      <c r="C10" s="26" t="s">
        <v>109</v>
      </c>
      <c r="D10" s="26" t="s">
        <v>110</v>
      </c>
      <c r="E10" s="35" t="s">
        <v>452</v>
      </c>
      <c r="F10" s="26" t="s">
        <v>453</v>
      </c>
      <c r="G10" s="26" t="s">
        <v>111</v>
      </c>
      <c r="H10" s="26" t="s">
        <v>160</v>
      </c>
      <c r="I10" s="26"/>
      <c r="J10" s="26">
        <v>20</v>
      </c>
    </row>
    <row r="11" spans="1:10" ht="115.5">
      <c r="A11" s="26" t="s">
        <v>428</v>
      </c>
      <c r="B11" s="26" t="s">
        <v>429</v>
      </c>
      <c r="C11" s="26" t="s">
        <v>454</v>
      </c>
      <c r="D11" s="26" t="s">
        <v>170</v>
      </c>
      <c r="E11" s="35" t="s">
        <v>455</v>
      </c>
      <c r="F11" s="26" t="s">
        <v>456</v>
      </c>
      <c r="G11" s="26" t="s">
        <v>71</v>
      </c>
      <c r="H11" s="26" t="s">
        <v>160</v>
      </c>
      <c r="I11" s="26"/>
      <c r="J11" s="26">
        <v>36</v>
      </c>
    </row>
    <row r="12" spans="1:10" ht="64.5">
      <c r="A12" s="26" t="s">
        <v>428</v>
      </c>
      <c r="B12" s="26" t="s">
        <v>429</v>
      </c>
      <c r="C12" s="26" t="s">
        <v>457</v>
      </c>
      <c r="D12" s="26" t="s">
        <v>458</v>
      </c>
      <c r="E12" s="35" t="s">
        <v>459</v>
      </c>
      <c r="F12" s="26" t="s">
        <v>443</v>
      </c>
      <c r="G12" s="26" t="s">
        <v>41</v>
      </c>
      <c r="H12" s="26" t="s">
        <v>451</v>
      </c>
      <c r="I12" s="26"/>
      <c r="J12" s="26">
        <v>7</v>
      </c>
    </row>
    <row r="13" spans="1:10" ht="39">
      <c r="A13" s="26" t="s">
        <v>428</v>
      </c>
      <c r="B13" s="26" t="s">
        <v>429</v>
      </c>
      <c r="C13" s="26" t="s">
        <v>54</v>
      </c>
      <c r="D13" s="26" t="s">
        <v>55</v>
      </c>
      <c r="E13" s="35" t="s">
        <v>460</v>
      </c>
      <c r="F13" s="26" t="s">
        <v>443</v>
      </c>
      <c r="G13" s="26" t="s">
        <v>461</v>
      </c>
      <c r="H13" s="26" t="s">
        <v>160</v>
      </c>
      <c r="I13" s="26"/>
      <c r="J13" s="26">
        <v>3</v>
      </c>
    </row>
    <row r="14" spans="1:10">
      <c r="A14" s="26" t="s">
        <v>428</v>
      </c>
      <c r="B14" s="26" t="s">
        <v>429</v>
      </c>
      <c r="C14" s="26" t="s">
        <v>462</v>
      </c>
      <c r="D14" s="26" t="s">
        <v>463</v>
      </c>
      <c r="E14" s="26" t="s">
        <v>464</v>
      </c>
      <c r="F14" s="26" t="s">
        <v>453</v>
      </c>
      <c r="G14" s="26" t="s">
        <v>111</v>
      </c>
      <c r="H14" s="26" t="s">
        <v>160</v>
      </c>
      <c r="I14" s="26"/>
      <c r="J14" s="26">
        <v>79</v>
      </c>
    </row>
    <row r="15" spans="1:10" ht="64.5">
      <c r="A15" s="26" t="s">
        <v>428</v>
      </c>
      <c r="B15" s="26" t="s">
        <v>429</v>
      </c>
      <c r="C15" s="26" t="s">
        <v>465</v>
      </c>
      <c r="D15" s="26" t="s">
        <v>466</v>
      </c>
      <c r="E15" s="35" t="s">
        <v>467</v>
      </c>
      <c r="F15" s="26"/>
      <c r="G15" s="26" t="s">
        <v>229</v>
      </c>
      <c r="H15" s="26" t="s">
        <v>160</v>
      </c>
      <c r="I15" s="26"/>
      <c r="J15" s="26">
        <v>22</v>
      </c>
    </row>
    <row r="16" spans="1:10" ht="64.5">
      <c r="A16" s="26" t="s">
        <v>428</v>
      </c>
      <c r="B16" s="26" t="s">
        <v>429</v>
      </c>
      <c r="C16" s="26" t="s">
        <v>66</v>
      </c>
      <c r="D16" s="26" t="s">
        <v>67</v>
      </c>
      <c r="E16" s="35" t="s">
        <v>468</v>
      </c>
      <c r="F16" s="26" t="s">
        <v>443</v>
      </c>
      <c r="G16" s="26" t="s">
        <v>461</v>
      </c>
      <c r="H16" s="26" t="s">
        <v>160</v>
      </c>
      <c r="I16" s="26"/>
      <c r="J16" s="26">
        <v>5</v>
      </c>
    </row>
    <row r="17" spans="1:10" ht="39">
      <c r="A17" s="26" t="s">
        <v>428</v>
      </c>
      <c r="B17" s="26" t="s">
        <v>429</v>
      </c>
      <c r="C17" s="26" t="s">
        <v>122</v>
      </c>
      <c r="D17" s="26" t="s">
        <v>123</v>
      </c>
      <c r="E17" s="35" t="s">
        <v>469</v>
      </c>
      <c r="F17" s="26" t="s">
        <v>437</v>
      </c>
      <c r="G17" s="26" t="s">
        <v>47</v>
      </c>
      <c r="H17" s="26" t="s">
        <v>160</v>
      </c>
      <c r="I17" s="26"/>
      <c r="J17" s="26">
        <v>24</v>
      </c>
    </row>
    <row r="18" spans="1:10" ht="51.75">
      <c r="A18" s="26" t="s">
        <v>428</v>
      </c>
      <c r="B18" s="26" t="s">
        <v>429</v>
      </c>
      <c r="C18" s="26" t="s">
        <v>126</v>
      </c>
      <c r="D18" s="26" t="s">
        <v>127</v>
      </c>
      <c r="E18" s="35" t="s">
        <v>470</v>
      </c>
      <c r="F18" s="26" t="s">
        <v>437</v>
      </c>
      <c r="G18" s="26" t="s">
        <v>47</v>
      </c>
      <c r="H18" s="26" t="s">
        <v>160</v>
      </c>
      <c r="I18" s="26"/>
      <c r="J18" s="26">
        <v>25</v>
      </c>
    </row>
    <row r="19" spans="1:10" ht="77.25">
      <c r="A19" s="26" t="s">
        <v>428</v>
      </c>
      <c r="B19" s="26" t="s">
        <v>429</v>
      </c>
      <c r="C19" s="26" t="s">
        <v>60</v>
      </c>
      <c r="D19" s="26" t="s">
        <v>61</v>
      </c>
      <c r="E19" s="35" t="s">
        <v>471</v>
      </c>
      <c r="F19" s="26" t="s">
        <v>443</v>
      </c>
      <c r="G19" s="26" t="s">
        <v>461</v>
      </c>
      <c r="H19" s="26" t="s">
        <v>160</v>
      </c>
      <c r="I19" s="26"/>
      <c r="J19" s="26">
        <v>4</v>
      </c>
    </row>
    <row r="20" spans="1:10" ht="243">
      <c r="A20" s="26" t="s">
        <v>428</v>
      </c>
      <c r="B20" s="26" t="s">
        <v>429</v>
      </c>
      <c r="C20" s="26" t="s">
        <v>184</v>
      </c>
      <c r="D20" s="26" t="s">
        <v>185</v>
      </c>
      <c r="E20" s="35" t="s">
        <v>472</v>
      </c>
      <c r="F20" s="26" t="s">
        <v>453</v>
      </c>
      <c r="G20" s="26" t="s">
        <v>111</v>
      </c>
      <c r="H20" s="26" t="s">
        <v>160</v>
      </c>
      <c r="I20" s="26"/>
      <c r="J20" s="26">
        <v>39</v>
      </c>
    </row>
    <row r="21" spans="1:10" ht="153.75">
      <c r="A21" s="26" t="s">
        <v>428</v>
      </c>
      <c r="B21" s="26" t="s">
        <v>429</v>
      </c>
      <c r="C21" s="26" t="s">
        <v>130</v>
      </c>
      <c r="D21" s="26" t="s">
        <v>131</v>
      </c>
      <c r="E21" s="35" t="s">
        <v>473</v>
      </c>
      <c r="F21" s="26" t="s">
        <v>456</v>
      </c>
      <c r="G21" s="26" t="s">
        <v>71</v>
      </c>
      <c r="H21" s="26" t="s">
        <v>160</v>
      </c>
      <c r="I21" s="26"/>
      <c r="J21" s="26">
        <v>26</v>
      </c>
    </row>
    <row r="22" spans="1:10" ht="90">
      <c r="A22" s="26" t="s">
        <v>428</v>
      </c>
      <c r="B22" s="26" t="s">
        <v>429</v>
      </c>
      <c r="C22" s="26" t="s">
        <v>298</v>
      </c>
      <c r="D22" s="26" t="s">
        <v>299</v>
      </c>
      <c r="E22" s="35" t="s">
        <v>474</v>
      </c>
      <c r="F22" s="26" t="s">
        <v>456</v>
      </c>
      <c r="G22" s="26" t="s">
        <v>71</v>
      </c>
      <c r="H22" s="26" t="s">
        <v>160</v>
      </c>
      <c r="I22" s="26"/>
      <c r="J22" s="26">
        <v>75</v>
      </c>
    </row>
    <row r="23" spans="1:10" ht="51.75">
      <c r="A23" s="26" t="s">
        <v>428</v>
      </c>
      <c r="B23" s="26" t="s">
        <v>429</v>
      </c>
      <c r="C23" s="26" t="s">
        <v>475</v>
      </c>
      <c r="D23" s="26" t="s">
        <v>476</v>
      </c>
      <c r="E23" s="35" t="s">
        <v>477</v>
      </c>
      <c r="F23" s="26" t="s">
        <v>456</v>
      </c>
      <c r="G23" s="26" t="s">
        <v>71</v>
      </c>
      <c r="H23" s="26" t="s">
        <v>160</v>
      </c>
      <c r="I23" s="26"/>
      <c r="J23" s="26">
        <v>21</v>
      </c>
    </row>
    <row r="24" spans="1:10">
      <c r="A24" s="26" t="s">
        <v>428</v>
      </c>
      <c r="B24" s="26" t="s">
        <v>429</v>
      </c>
      <c r="C24" s="26" t="s">
        <v>309</v>
      </c>
      <c r="D24" s="26" t="s">
        <v>310</v>
      </c>
      <c r="E24" s="26"/>
      <c r="F24" s="26" t="s">
        <v>447</v>
      </c>
      <c r="G24" s="26" t="s">
        <v>311</v>
      </c>
      <c r="H24" s="26" t="s">
        <v>160</v>
      </c>
      <c r="I24" s="26"/>
      <c r="J24" s="26">
        <v>69</v>
      </c>
    </row>
    <row r="25" spans="1:10">
      <c r="A25" s="26" t="s">
        <v>428</v>
      </c>
      <c r="B25" s="26" t="s">
        <v>429</v>
      </c>
      <c r="C25" s="26" t="s">
        <v>313</v>
      </c>
      <c r="D25" s="26" t="s">
        <v>314</v>
      </c>
      <c r="E25" s="26" t="s">
        <v>478</v>
      </c>
      <c r="F25" s="26" t="s">
        <v>313</v>
      </c>
      <c r="G25" s="26" t="s">
        <v>479</v>
      </c>
      <c r="H25" s="26" t="s">
        <v>451</v>
      </c>
      <c r="I25" s="26"/>
      <c r="J25" s="26">
        <v>70</v>
      </c>
    </row>
    <row r="26" spans="1:10" ht="51.75">
      <c r="A26" s="26" t="s">
        <v>428</v>
      </c>
      <c r="B26" s="26" t="s">
        <v>429</v>
      </c>
      <c r="C26" s="26" t="s">
        <v>116</v>
      </c>
      <c r="D26" s="26" t="s">
        <v>117</v>
      </c>
      <c r="E26" s="35" t="s">
        <v>480</v>
      </c>
      <c r="F26" s="26"/>
      <c r="G26" s="26" t="s">
        <v>118</v>
      </c>
      <c r="H26" s="26" t="s">
        <v>160</v>
      </c>
      <c r="I26" s="26"/>
      <c r="J26" s="26">
        <v>23</v>
      </c>
    </row>
    <row r="27" spans="1:10" ht="51.75">
      <c r="A27" s="26" t="s">
        <v>428</v>
      </c>
      <c r="B27" s="26" t="s">
        <v>429</v>
      </c>
      <c r="C27" s="26" t="s">
        <v>481</v>
      </c>
      <c r="D27" s="26" t="s">
        <v>135</v>
      </c>
      <c r="E27" s="35" t="s">
        <v>482</v>
      </c>
      <c r="F27" s="26" t="s">
        <v>453</v>
      </c>
      <c r="G27" s="26" t="s">
        <v>111</v>
      </c>
      <c r="H27" s="26" t="s">
        <v>160</v>
      </c>
      <c r="I27" s="26"/>
      <c r="J27" s="26">
        <v>27</v>
      </c>
    </row>
    <row r="28" spans="1:10" ht="281.25">
      <c r="A28" s="26" t="s">
        <v>428</v>
      </c>
      <c r="B28" s="26" t="s">
        <v>429</v>
      </c>
      <c r="C28" s="26" t="s">
        <v>483</v>
      </c>
      <c r="D28" s="26" t="s">
        <v>484</v>
      </c>
      <c r="E28" s="35" t="s">
        <v>485</v>
      </c>
      <c r="F28" s="26" t="s">
        <v>456</v>
      </c>
      <c r="G28" s="26" t="s">
        <v>71</v>
      </c>
      <c r="H28" s="26" t="s">
        <v>160</v>
      </c>
      <c r="I28" s="26"/>
      <c r="J28" s="26">
        <v>76</v>
      </c>
    </row>
    <row r="29" spans="1:10" ht="51.75">
      <c r="A29" s="26" t="s">
        <v>428</v>
      </c>
      <c r="B29" s="26" t="s">
        <v>429</v>
      </c>
      <c r="C29" s="26" t="s">
        <v>95</v>
      </c>
      <c r="D29" s="26" t="s">
        <v>486</v>
      </c>
      <c r="E29" s="35" t="s">
        <v>487</v>
      </c>
      <c r="F29" s="26" t="s">
        <v>95</v>
      </c>
      <c r="G29" s="26" t="s">
        <v>91</v>
      </c>
      <c r="H29" s="26" t="s">
        <v>451</v>
      </c>
      <c r="I29" s="26"/>
      <c r="J29" s="26">
        <v>14</v>
      </c>
    </row>
    <row r="30" spans="1:10">
      <c r="A30" s="26" t="s">
        <v>428</v>
      </c>
      <c r="B30" s="26" t="s">
        <v>429</v>
      </c>
      <c r="C30" s="26" t="s">
        <v>488</v>
      </c>
      <c r="D30" s="26" t="s">
        <v>489</v>
      </c>
      <c r="E30" s="26" t="s">
        <v>450</v>
      </c>
      <c r="F30" s="26" t="s">
        <v>443</v>
      </c>
      <c r="G30" s="26" t="s">
        <v>41</v>
      </c>
      <c r="H30" s="26" t="s">
        <v>451</v>
      </c>
      <c r="I30" s="26"/>
      <c r="J30" s="26">
        <v>78</v>
      </c>
    </row>
    <row r="31" spans="1:10" ht="39">
      <c r="A31" s="26" t="s">
        <v>428</v>
      </c>
      <c r="B31" s="26" t="s">
        <v>429</v>
      </c>
      <c r="C31" s="26" t="s">
        <v>89</v>
      </c>
      <c r="D31" s="26" t="s">
        <v>90</v>
      </c>
      <c r="E31" s="35" t="s">
        <v>490</v>
      </c>
      <c r="F31" s="26"/>
      <c r="G31" s="26" t="s">
        <v>91</v>
      </c>
      <c r="H31" s="26" t="s">
        <v>160</v>
      </c>
      <c r="I31" s="26"/>
      <c r="J31" s="26">
        <v>13</v>
      </c>
    </row>
    <row r="32" spans="1:10">
      <c r="A32" s="26" t="s">
        <v>428</v>
      </c>
      <c r="B32" s="26" t="s">
        <v>429</v>
      </c>
      <c r="C32" s="26" t="s">
        <v>491</v>
      </c>
      <c r="D32" s="26" t="s">
        <v>492</v>
      </c>
      <c r="E32" s="26" t="s">
        <v>450</v>
      </c>
      <c r="F32" s="26" t="s">
        <v>443</v>
      </c>
      <c r="G32" s="26" t="s">
        <v>41</v>
      </c>
      <c r="H32" s="26" t="s">
        <v>451</v>
      </c>
      <c r="I32" s="26"/>
      <c r="J32" s="26">
        <v>81</v>
      </c>
    </row>
    <row r="33" spans="1:10" ht="102.75">
      <c r="A33" s="26" t="s">
        <v>428</v>
      </c>
      <c r="B33" s="26" t="s">
        <v>429</v>
      </c>
      <c r="C33" s="26" t="s">
        <v>138</v>
      </c>
      <c r="D33" s="26" t="s">
        <v>139</v>
      </c>
      <c r="E33" s="35" t="s">
        <v>493</v>
      </c>
      <c r="F33" s="26" t="s">
        <v>453</v>
      </c>
      <c r="G33" s="26" t="s">
        <v>111</v>
      </c>
      <c r="H33" s="26" t="s">
        <v>160</v>
      </c>
      <c r="I33" s="26"/>
      <c r="J33" s="26">
        <v>28</v>
      </c>
    </row>
    <row r="34" spans="1:10" ht="166.5">
      <c r="A34" s="26" t="s">
        <v>428</v>
      </c>
      <c r="B34" s="26" t="s">
        <v>429</v>
      </c>
      <c r="C34" s="26" t="s">
        <v>142</v>
      </c>
      <c r="D34" s="26" t="s">
        <v>143</v>
      </c>
      <c r="E34" s="35" t="s">
        <v>494</v>
      </c>
      <c r="F34" s="26" t="s">
        <v>453</v>
      </c>
      <c r="G34" s="26" t="s">
        <v>111</v>
      </c>
      <c r="H34" s="26" t="s">
        <v>160</v>
      </c>
      <c r="I34" s="26"/>
      <c r="J34" s="26">
        <v>29</v>
      </c>
    </row>
    <row r="35" spans="1:10" ht="90">
      <c r="A35" s="26" t="s">
        <v>428</v>
      </c>
      <c r="B35" s="26" t="s">
        <v>429</v>
      </c>
      <c r="C35" s="26" t="s">
        <v>147</v>
      </c>
      <c r="D35" s="26" t="s">
        <v>148</v>
      </c>
      <c r="E35" s="35" t="s">
        <v>495</v>
      </c>
      <c r="F35" s="26"/>
      <c r="G35" s="26" t="s">
        <v>91</v>
      </c>
      <c r="H35" s="26" t="s">
        <v>160</v>
      </c>
      <c r="I35" s="26"/>
      <c r="J35" s="26">
        <v>30</v>
      </c>
    </row>
    <row r="36" spans="1:10">
      <c r="A36" s="26" t="s">
        <v>428</v>
      </c>
      <c r="B36" s="26" t="s">
        <v>429</v>
      </c>
      <c r="C36" s="26" t="s">
        <v>496</v>
      </c>
      <c r="D36" s="26" t="s">
        <v>497</v>
      </c>
      <c r="E36" s="26" t="s">
        <v>450</v>
      </c>
      <c r="F36" s="26" t="s">
        <v>443</v>
      </c>
      <c r="G36" s="26" t="s">
        <v>41</v>
      </c>
      <c r="H36" s="26" t="s">
        <v>451</v>
      </c>
      <c r="I36" s="26"/>
      <c r="J36" s="26">
        <v>82</v>
      </c>
    </row>
    <row r="37" spans="1:10" ht="64.5">
      <c r="A37" s="26" t="s">
        <v>428</v>
      </c>
      <c r="B37" s="26" t="s">
        <v>429</v>
      </c>
      <c r="C37" s="26" t="s">
        <v>498</v>
      </c>
      <c r="D37" s="26" t="s">
        <v>499</v>
      </c>
      <c r="E37" s="35" t="s">
        <v>500</v>
      </c>
      <c r="F37" s="26" t="s">
        <v>443</v>
      </c>
      <c r="G37" s="26" t="s">
        <v>41</v>
      </c>
      <c r="H37" s="26" t="s">
        <v>451</v>
      </c>
      <c r="I37" s="26"/>
      <c r="J37" s="26">
        <v>6</v>
      </c>
    </row>
    <row r="38" spans="1:10">
      <c r="A38" s="26" t="s">
        <v>428</v>
      </c>
      <c r="B38" s="26" t="s">
        <v>429</v>
      </c>
      <c r="C38" s="26" t="s">
        <v>318</v>
      </c>
      <c r="D38" s="26" t="s">
        <v>319</v>
      </c>
      <c r="E38" s="26"/>
      <c r="F38" s="26"/>
      <c r="G38" s="26" t="s">
        <v>311</v>
      </c>
      <c r="H38" s="26" t="s">
        <v>160</v>
      </c>
      <c r="I38" s="26"/>
      <c r="J38" s="26">
        <v>71</v>
      </c>
    </row>
    <row r="39" spans="1:10">
      <c r="A39" s="26" t="s">
        <v>428</v>
      </c>
      <c r="B39" s="26" t="s">
        <v>429</v>
      </c>
      <c r="C39" s="26" t="s">
        <v>321</v>
      </c>
      <c r="D39" s="26" t="s">
        <v>322</v>
      </c>
      <c r="E39" s="26" t="s">
        <v>501</v>
      </c>
      <c r="F39" s="26" t="s">
        <v>321</v>
      </c>
      <c r="G39" s="26" t="s">
        <v>479</v>
      </c>
      <c r="H39" s="26" t="s">
        <v>451</v>
      </c>
      <c r="I39" s="26"/>
      <c r="J39" s="26">
        <v>72</v>
      </c>
    </row>
    <row r="40" spans="1:10" ht="64.5">
      <c r="A40" s="26" t="s">
        <v>428</v>
      </c>
      <c r="B40" s="26" t="s">
        <v>429</v>
      </c>
      <c r="C40" s="26" t="s">
        <v>502</v>
      </c>
      <c r="D40" s="26" t="s">
        <v>162</v>
      </c>
      <c r="E40" s="35" t="s">
        <v>503</v>
      </c>
      <c r="F40" s="26" t="s">
        <v>453</v>
      </c>
      <c r="G40" s="26" t="s">
        <v>111</v>
      </c>
      <c r="H40" s="26" t="s">
        <v>160</v>
      </c>
      <c r="I40" s="26" t="s">
        <v>504</v>
      </c>
      <c r="J40" s="26">
        <v>34</v>
      </c>
    </row>
    <row r="41" spans="1:10" ht="179.25">
      <c r="A41" s="26" t="s">
        <v>428</v>
      </c>
      <c r="B41" s="26" t="s">
        <v>429</v>
      </c>
      <c r="C41" s="26" t="s">
        <v>153</v>
      </c>
      <c r="D41" s="26" t="s">
        <v>154</v>
      </c>
      <c r="E41" s="35" t="s">
        <v>505</v>
      </c>
      <c r="F41" s="26" t="s">
        <v>439</v>
      </c>
      <c r="G41" s="26" t="s">
        <v>71</v>
      </c>
      <c r="H41" s="26" t="s">
        <v>160</v>
      </c>
      <c r="I41" s="26"/>
      <c r="J41" s="26">
        <v>32</v>
      </c>
    </row>
    <row r="42" spans="1:10" ht="204.75">
      <c r="A42" s="26" t="s">
        <v>428</v>
      </c>
      <c r="B42" s="26" t="s">
        <v>429</v>
      </c>
      <c r="C42" s="26" t="s">
        <v>157</v>
      </c>
      <c r="D42" s="26" t="s">
        <v>158</v>
      </c>
      <c r="E42" s="35" t="s">
        <v>506</v>
      </c>
      <c r="F42" s="26" t="s">
        <v>456</v>
      </c>
      <c r="G42" s="26" t="s">
        <v>71</v>
      </c>
      <c r="H42" s="26" t="s">
        <v>160</v>
      </c>
      <c r="I42" s="26"/>
      <c r="J42" s="26">
        <v>33</v>
      </c>
    </row>
    <row r="43" spans="1:10" ht="64.5">
      <c r="A43" s="26" t="s">
        <v>428</v>
      </c>
      <c r="B43" s="26" t="s">
        <v>429</v>
      </c>
      <c r="C43" s="26" t="s">
        <v>164</v>
      </c>
      <c r="D43" s="26" t="s">
        <v>165</v>
      </c>
      <c r="E43" s="35" t="s">
        <v>507</v>
      </c>
      <c r="F43" s="26" t="s">
        <v>456</v>
      </c>
      <c r="G43" s="26" t="s">
        <v>71</v>
      </c>
      <c r="H43" s="26" t="s">
        <v>160</v>
      </c>
      <c r="I43" s="26"/>
      <c r="J43" s="26">
        <v>35</v>
      </c>
    </row>
    <row r="44" spans="1:10" ht="166.5">
      <c r="A44" s="26" t="s">
        <v>428</v>
      </c>
      <c r="B44" s="26" t="s">
        <v>429</v>
      </c>
      <c r="C44" s="26" t="s">
        <v>508</v>
      </c>
      <c r="D44" s="26" t="s">
        <v>303</v>
      </c>
      <c r="E44" s="35" t="s">
        <v>509</v>
      </c>
      <c r="F44" s="26" t="s">
        <v>456</v>
      </c>
      <c r="G44" s="26" t="s">
        <v>71</v>
      </c>
      <c r="H44" s="26" t="s">
        <v>160</v>
      </c>
      <c r="I44" s="26" t="s">
        <v>504</v>
      </c>
      <c r="J44" s="26">
        <v>77</v>
      </c>
    </row>
    <row r="45" spans="1:10" ht="141">
      <c r="A45" s="26" t="s">
        <v>428</v>
      </c>
      <c r="B45" s="26" t="s">
        <v>429</v>
      </c>
      <c r="C45" s="26" t="s">
        <v>173</v>
      </c>
      <c r="D45" s="26" t="s">
        <v>174</v>
      </c>
      <c r="E45" s="35" t="s">
        <v>510</v>
      </c>
      <c r="F45" s="26" t="s">
        <v>453</v>
      </c>
      <c r="G45" s="26" t="s">
        <v>111</v>
      </c>
      <c r="H45" s="26" t="s">
        <v>160</v>
      </c>
      <c r="I45" s="26"/>
      <c r="J45" s="26">
        <v>37</v>
      </c>
    </row>
    <row r="46" spans="1:10">
      <c r="A46" s="26" t="s">
        <v>428</v>
      </c>
      <c r="B46" s="26" t="s">
        <v>429</v>
      </c>
      <c r="C46" s="26" t="s">
        <v>511</v>
      </c>
      <c r="D46" s="26" t="s">
        <v>512</v>
      </c>
      <c r="E46" s="26" t="s">
        <v>513</v>
      </c>
      <c r="F46" s="26" t="s">
        <v>443</v>
      </c>
      <c r="G46" s="26" t="s">
        <v>41</v>
      </c>
      <c r="H46" s="26" t="s">
        <v>451</v>
      </c>
      <c r="I46" s="26"/>
      <c r="J46" s="26">
        <v>1</v>
      </c>
    </row>
    <row r="47" spans="1:10" ht="255.75">
      <c r="A47" s="26" t="s">
        <v>428</v>
      </c>
      <c r="B47" s="26" t="s">
        <v>429</v>
      </c>
      <c r="C47" s="26" t="s">
        <v>178</v>
      </c>
      <c r="D47" s="26" t="s">
        <v>179</v>
      </c>
      <c r="E47" s="35" t="s">
        <v>514</v>
      </c>
      <c r="F47" s="26" t="s">
        <v>437</v>
      </c>
      <c r="G47" s="26" t="s">
        <v>47</v>
      </c>
      <c r="H47" s="26" t="s">
        <v>160</v>
      </c>
      <c r="I47" s="26"/>
      <c r="J47" s="26">
        <v>38</v>
      </c>
    </row>
    <row r="48" spans="1:10">
      <c r="A48" s="26" t="s">
        <v>428</v>
      </c>
      <c r="B48" s="26" t="s">
        <v>429</v>
      </c>
      <c r="C48" s="26" t="s">
        <v>515</v>
      </c>
      <c r="D48" s="26" t="s">
        <v>516</v>
      </c>
      <c r="E48" s="26" t="s">
        <v>517</v>
      </c>
      <c r="F48" s="26" t="s">
        <v>447</v>
      </c>
      <c r="G48" s="26" t="s">
        <v>91</v>
      </c>
      <c r="H48" s="26" t="s">
        <v>160</v>
      </c>
      <c r="I48" s="26"/>
      <c r="J48" s="26">
        <v>86</v>
      </c>
    </row>
    <row r="49" spans="1:10" ht="153.75">
      <c r="A49" s="26" t="s">
        <v>428</v>
      </c>
      <c r="B49" s="26" t="s">
        <v>429</v>
      </c>
      <c r="C49" s="26" t="s">
        <v>189</v>
      </c>
      <c r="D49" s="26" t="s">
        <v>190</v>
      </c>
      <c r="E49" s="35" t="s">
        <v>518</v>
      </c>
      <c r="F49" s="26"/>
      <c r="G49" s="26" t="s">
        <v>191</v>
      </c>
      <c r="H49" s="26" t="s">
        <v>160</v>
      </c>
      <c r="I49" s="26"/>
      <c r="J49" s="26">
        <v>40</v>
      </c>
    </row>
    <row r="50" spans="1:10" ht="153.75">
      <c r="A50" s="26" t="s">
        <v>428</v>
      </c>
      <c r="B50" s="26" t="s">
        <v>429</v>
      </c>
      <c r="C50" s="26" t="s">
        <v>195</v>
      </c>
      <c r="D50" s="26" t="s">
        <v>196</v>
      </c>
      <c r="E50" s="35" t="s">
        <v>519</v>
      </c>
      <c r="F50" s="26" t="s">
        <v>453</v>
      </c>
      <c r="G50" s="26" t="s">
        <v>111</v>
      </c>
      <c r="H50" s="26" t="s">
        <v>160</v>
      </c>
      <c r="I50" s="26"/>
      <c r="J50" s="26">
        <v>41</v>
      </c>
    </row>
    <row r="51" spans="1:10" ht="102.75">
      <c r="A51" s="26" t="s">
        <v>428</v>
      </c>
      <c r="B51" s="26" t="s">
        <v>429</v>
      </c>
      <c r="C51" s="26" t="s">
        <v>200</v>
      </c>
      <c r="D51" s="26" t="s">
        <v>201</v>
      </c>
      <c r="E51" s="35" t="s">
        <v>520</v>
      </c>
      <c r="F51" s="26" t="s">
        <v>453</v>
      </c>
      <c r="G51" s="26" t="s">
        <v>111</v>
      </c>
      <c r="H51" s="26" t="s">
        <v>160</v>
      </c>
      <c r="I51" s="26"/>
      <c r="J51" s="26">
        <v>42</v>
      </c>
    </row>
    <row r="52" spans="1:10" ht="345">
      <c r="A52" s="26" t="s">
        <v>428</v>
      </c>
      <c r="B52" s="26" t="s">
        <v>429</v>
      </c>
      <c r="C52" s="26" t="s">
        <v>205</v>
      </c>
      <c r="D52" s="26" t="s">
        <v>206</v>
      </c>
      <c r="E52" s="35" t="s">
        <v>521</v>
      </c>
      <c r="F52" s="26"/>
      <c r="G52" s="26" t="s">
        <v>191</v>
      </c>
      <c r="H52" s="26" t="s">
        <v>160</v>
      </c>
      <c r="I52" s="26"/>
      <c r="J52" s="26">
        <v>43</v>
      </c>
    </row>
    <row r="53" spans="1:10" ht="204.75">
      <c r="A53" s="26" t="s">
        <v>428</v>
      </c>
      <c r="B53" s="26" t="s">
        <v>429</v>
      </c>
      <c r="C53" s="26" t="s">
        <v>150</v>
      </c>
      <c r="D53" s="26" t="s">
        <v>151</v>
      </c>
      <c r="E53" s="35" t="s">
        <v>522</v>
      </c>
      <c r="F53" s="26"/>
      <c r="G53" s="26" t="s">
        <v>91</v>
      </c>
      <c r="H53" s="26" t="s">
        <v>160</v>
      </c>
      <c r="I53" s="26"/>
      <c r="J53" s="26">
        <v>31</v>
      </c>
    </row>
    <row r="54" spans="1:10">
      <c r="A54" s="26" t="s">
        <v>428</v>
      </c>
      <c r="B54" s="26" t="s">
        <v>429</v>
      </c>
      <c r="C54" s="26" t="s">
        <v>523</v>
      </c>
      <c r="D54" s="26" t="s">
        <v>524</v>
      </c>
      <c r="E54" s="26" t="s">
        <v>450</v>
      </c>
      <c r="F54" s="26" t="s">
        <v>443</v>
      </c>
      <c r="G54" s="26" t="s">
        <v>41</v>
      </c>
      <c r="H54" s="26" t="s">
        <v>451</v>
      </c>
      <c r="I54" s="26"/>
      <c r="J54" s="26">
        <v>85</v>
      </c>
    </row>
    <row r="55" spans="1:10" ht="64.5">
      <c r="A55" s="26" t="s">
        <v>428</v>
      </c>
      <c r="B55" s="26" t="s">
        <v>429</v>
      </c>
      <c r="C55" s="26" t="s">
        <v>208</v>
      </c>
      <c r="D55" s="26" t="s">
        <v>209</v>
      </c>
      <c r="E55" s="35" t="s">
        <v>525</v>
      </c>
      <c r="F55" s="26" t="s">
        <v>453</v>
      </c>
      <c r="G55" s="26" t="s">
        <v>111</v>
      </c>
      <c r="H55" s="26" t="s">
        <v>160</v>
      </c>
      <c r="I55" s="26"/>
      <c r="J55" s="26">
        <v>44</v>
      </c>
    </row>
    <row r="56" spans="1:10" ht="179.25">
      <c r="A56" s="26" t="s">
        <v>428</v>
      </c>
      <c r="B56" s="26" t="s">
        <v>429</v>
      </c>
      <c r="C56" s="26" t="s">
        <v>211</v>
      </c>
      <c r="D56" s="26" t="s">
        <v>212</v>
      </c>
      <c r="E56" s="35" t="s">
        <v>526</v>
      </c>
      <c r="F56" s="26" t="s">
        <v>453</v>
      </c>
      <c r="G56" s="26" t="s">
        <v>111</v>
      </c>
      <c r="H56" s="26" t="s">
        <v>160</v>
      </c>
      <c r="I56" s="26"/>
      <c r="J56" s="26">
        <v>45</v>
      </c>
    </row>
    <row r="57" spans="1:10" ht="166.5">
      <c r="A57" s="26" t="s">
        <v>428</v>
      </c>
      <c r="B57" s="26" t="s">
        <v>429</v>
      </c>
      <c r="C57" s="26" t="s">
        <v>220</v>
      </c>
      <c r="D57" s="26" t="s">
        <v>221</v>
      </c>
      <c r="E57" s="35" t="s">
        <v>527</v>
      </c>
      <c r="F57" s="26"/>
      <c r="G57" s="26" t="s">
        <v>71</v>
      </c>
      <c r="H57" s="26" t="s">
        <v>160</v>
      </c>
      <c r="I57" s="26"/>
      <c r="J57" s="26">
        <v>47</v>
      </c>
    </row>
    <row r="58" spans="1:10">
      <c r="A58" s="26" t="s">
        <v>428</v>
      </c>
      <c r="B58" s="26" t="s">
        <v>429</v>
      </c>
      <c r="C58" s="26" t="s">
        <v>306</v>
      </c>
      <c r="D58" s="26" t="s">
        <v>307</v>
      </c>
      <c r="E58" s="26"/>
      <c r="F58" s="26" t="s">
        <v>443</v>
      </c>
      <c r="G58" s="26" t="s">
        <v>41</v>
      </c>
      <c r="H58" s="26" t="s">
        <v>160</v>
      </c>
      <c r="I58" s="26"/>
      <c r="J58" s="26">
        <v>65</v>
      </c>
    </row>
    <row r="59" spans="1:10" ht="77.25">
      <c r="A59" s="26" t="s">
        <v>428</v>
      </c>
      <c r="B59" s="26" t="s">
        <v>429</v>
      </c>
      <c r="C59" s="26" t="s">
        <v>224</v>
      </c>
      <c r="D59" s="26" t="s">
        <v>225</v>
      </c>
      <c r="E59" s="35" t="s">
        <v>528</v>
      </c>
      <c r="F59" s="26" t="s">
        <v>447</v>
      </c>
      <c r="G59" s="26" t="s">
        <v>91</v>
      </c>
      <c r="H59" s="26" t="s">
        <v>160</v>
      </c>
      <c r="I59" s="26"/>
      <c r="J59" s="26">
        <v>48</v>
      </c>
    </row>
    <row r="60" spans="1:10">
      <c r="A60" s="26" t="s">
        <v>428</v>
      </c>
      <c r="B60" s="26" t="s">
        <v>429</v>
      </c>
      <c r="C60" s="26" t="s">
        <v>529</v>
      </c>
      <c r="D60" s="26" t="s">
        <v>530</v>
      </c>
      <c r="E60" s="26" t="s">
        <v>450</v>
      </c>
      <c r="F60" s="26" t="s">
        <v>443</v>
      </c>
      <c r="G60" s="26" t="s">
        <v>41</v>
      </c>
      <c r="H60" s="26" t="s">
        <v>451</v>
      </c>
      <c r="I60" s="26"/>
      <c r="J60" s="26">
        <v>84</v>
      </c>
    </row>
    <row r="61" spans="1:10" ht="115.5">
      <c r="A61" s="26" t="s">
        <v>428</v>
      </c>
      <c r="B61" s="26" t="s">
        <v>429</v>
      </c>
      <c r="C61" s="26" t="s">
        <v>531</v>
      </c>
      <c r="D61" s="26" t="s">
        <v>532</v>
      </c>
      <c r="E61" s="35" t="s">
        <v>533</v>
      </c>
      <c r="F61" s="26" t="s">
        <v>447</v>
      </c>
      <c r="G61" s="26" t="s">
        <v>91</v>
      </c>
      <c r="H61" s="26" t="s">
        <v>160</v>
      </c>
      <c r="I61" s="26"/>
      <c r="J61" s="26">
        <v>49</v>
      </c>
    </row>
    <row r="62" spans="1:10" ht="243">
      <c r="A62" s="26" t="s">
        <v>428</v>
      </c>
      <c r="B62" s="26" t="s">
        <v>429</v>
      </c>
      <c r="C62" s="26" t="s">
        <v>215</v>
      </c>
      <c r="D62" s="26" t="s">
        <v>216</v>
      </c>
      <c r="E62" s="35" t="s">
        <v>534</v>
      </c>
      <c r="F62" s="26" t="s">
        <v>437</v>
      </c>
      <c r="G62" s="26" t="s">
        <v>47</v>
      </c>
      <c r="H62" s="26" t="s">
        <v>160</v>
      </c>
      <c r="I62" s="26"/>
      <c r="J62" s="26">
        <v>46</v>
      </c>
    </row>
    <row r="63" spans="1:10" ht="39">
      <c r="A63" s="26" t="s">
        <v>428</v>
      </c>
      <c r="B63" s="26" t="s">
        <v>429</v>
      </c>
      <c r="C63" s="26" t="s">
        <v>45</v>
      </c>
      <c r="D63" s="26" t="s">
        <v>46</v>
      </c>
      <c r="E63" s="35" t="s">
        <v>535</v>
      </c>
      <c r="F63" s="26" t="s">
        <v>437</v>
      </c>
      <c r="G63" s="26" t="s">
        <v>47</v>
      </c>
      <c r="H63" s="26" t="s">
        <v>160</v>
      </c>
      <c r="I63" s="26"/>
      <c r="J63" s="26">
        <v>2</v>
      </c>
    </row>
    <row r="64" spans="1:10">
      <c r="A64" s="26" t="s">
        <v>428</v>
      </c>
      <c r="B64" s="26" t="s">
        <v>429</v>
      </c>
      <c r="C64" s="26" t="s">
        <v>536</v>
      </c>
      <c r="D64" s="26" t="s">
        <v>537</v>
      </c>
      <c r="E64" s="26" t="s">
        <v>538</v>
      </c>
      <c r="F64" s="26" t="s">
        <v>443</v>
      </c>
      <c r="G64" s="26" t="s">
        <v>41</v>
      </c>
      <c r="H64" s="26" t="s">
        <v>451</v>
      </c>
      <c r="I64" s="26"/>
      <c r="J64" s="26">
        <v>73</v>
      </c>
    </row>
    <row r="65" spans="1:10" ht="39">
      <c r="A65" s="26" t="s">
        <v>428</v>
      </c>
      <c r="B65" s="26" t="s">
        <v>429</v>
      </c>
      <c r="C65" s="26" t="s">
        <v>281</v>
      </c>
      <c r="D65" s="26" t="s">
        <v>282</v>
      </c>
      <c r="E65" s="35" t="s">
        <v>535</v>
      </c>
      <c r="F65" s="26" t="s">
        <v>443</v>
      </c>
      <c r="G65" s="26" t="s">
        <v>41</v>
      </c>
      <c r="H65" s="26" t="s">
        <v>160</v>
      </c>
      <c r="I65" s="26"/>
      <c r="J65" s="26">
        <v>66</v>
      </c>
    </row>
    <row r="66" spans="1:10" ht="77.25">
      <c r="A66" s="26" t="s">
        <v>428</v>
      </c>
      <c r="B66" s="26" t="s">
        <v>429</v>
      </c>
      <c r="C66" s="26" t="s">
        <v>284</v>
      </c>
      <c r="D66" s="26" t="s">
        <v>285</v>
      </c>
      <c r="E66" s="35" t="s">
        <v>539</v>
      </c>
      <c r="F66" s="26"/>
      <c r="G66" s="26" t="s">
        <v>286</v>
      </c>
      <c r="H66" s="26" t="s">
        <v>160</v>
      </c>
      <c r="I66" s="26"/>
      <c r="J66" s="26">
        <v>67</v>
      </c>
    </row>
    <row r="67" spans="1:10" ht="77.25">
      <c r="A67" s="26" t="s">
        <v>428</v>
      </c>
      <c r="B67" s="26" t="s">
        <v>429</v>
      </c>
      <c r="C67" s="26" t="s">
        <v>540</v>
      </c>
      <c r="D67" s="26" t="s">
        <v>264</v>
      </c>
      <c r="E67" s="35" t="s">
        <v>452</v>
      </c>
      <c r="F67" s="26" t="s">
        <v>453</v>
      </c>
      <c r="G67" s="26" t="s">
        <v>111</v>
      </c>
      <c r="H67" s="26" t="s">
        <v>160</v>
      </c>
      <c r="I67" s="26"/>
      <c r="J67" s="26">
        <v>59</v>
      </c>
    </row>
    <row r="68" spans="1:10" ht="243">
      <c r="A68" s="26" t="s">
        <v>428</v>
      </c>
      <c r="B68" s="26" t="s">
        <v>429</v>
      </c>
      <c r="C68" s="26" t="s">
        <v>271</v>
      </c>
      <c r="D68" s="26" t="s">
        <v>272</v>
      </c>
      <c r="E68" s="35" t="s">
        <v>472</v>
      </c>
      <c r="F68" s="26" t="s">
        <v>453</v>
      </c>
      <c r="G68" s="26" t="s">
        <v>111</v>
      </c>
      <c r="H68" s="26" t="s">
        <v>160</v>
      </c>
      <c r="I68" s="26"/>
      <c r="J68" s="26">
        <v>62</v>
      </c>
    </row>
    <row r="69" spans="1:10" ht="51.75">
      <c r="A69" s="26" t="s">
        <v>428</v>
      </c>
      <c r="B69" s="26" t="s">
        <v>429</v>
      </c>
      <c r="C69" s="26" t="s">
        <v>541</v>
      </c>
      <c r="D69" s="26" t="s">
        <v>261</v>
      </c>
      <c r="E69" s="35" t="s">
        <v>482</v>
      </c>
      <c r="F69" s="26" t="s">
        <v>453</v>
      </c>
      <c r="G69" s="26" t="s">
        <v>111</v>
      </c>
      <c r="H69" s="26" t="s">
        <v>160</v>
      </c>
      <c r="I69" s="26"/>
      <c r="J69" s="26">
        <v>58</v>
      </c>
    </row>
    <row r="70" spans="1:10" ht="153.75">
      <c r="A70" s="26" t="s">
        <v>428</v>
      </c>
      <c r="B70" s="26" t="s">
        <v>429</v>
      </c>
      <c r="C70" s="26" t="s">
        <v>266</v>
      </c>
      <c r="D70" s="26" t="s">
        <v>267</v>
      </c>
      <c r="E70" s="35" t="s">
        <v>542</v>
      </c>
      <c r="F70" s="26" t="s">
        <v>453</v>
      </c>
      <c r="G70" s="26" t="s">
        <v>111</v>
      </c>
      <c r="H70" s="26" t="s">
        <v>160</v>
      </c>
      <c r="I70" s="26"/>
      <c r="J70" s="26">
        <v>60</v>
      </c>
    </row>
    <row r="71" spans="1:10" ht="141">
      <c r="A71" s="26" t="s">
        <v>428</v>
      </c>
      <c r="B71" s="26" t="s">
        <v>429</v>
      </c>
      <c r="C71" s="26" t="s">
        <v>269</v>
      </c>
      <c r="D71" s="26" t="s">
        <v>176</v>
      </c>
      <c r="E71" s="35" t="s">
        <v>510</v>
      </c>
      <c r="F71" s="26" t="s">
        <v>453</v>
      </c>
      <c r="G71" s="26" t="s">
        <v>111</v>
      </c>
      <c r="H71" s="26" t="s">
        <v>160</v>
      </c>
      <c r="I71" s="26"/>
      <c r="J71" s="26">
        <v>61</v>
      </c>
    </row>
    <row r="72" spans="1:10" ht="153.75">
      <c r="A72" s="26" t="s">
        <v>428</v>
      </c>
      <c r="B72" s="26" t="s">
        <v>429</v>
      </c>
      <c r="C72" s="26" t="s">
        <v>275</v>
      </c>
      <c r="D72" s="26" t="s">
        <v>198</v>
      </c>
      <c r="E72" s="35" t="s">
        <v>519</v>
      </c>
      <c r="F72" s="26"/>
      <c r="G72" s="26" t="s">
        <v>276</v>
      </c>
      <c r="H72" s="26" t="s">
        <v>160</v>
      </c>
      <c r="I72" s="26"/>
      <c r="J72" s="26">
        <v>63</v>
      </c>
    </row>
    <row r="73" spans="1:10" ht="102.75">
      <c r="A73" s="26" t="s">
        <v>428</v>
      </c>
      <c r="B73" s="26" t="s">
        <v>429</v>
      </c>
      <c r="C73" s="26" t="s">
        <v>279</v>
      </c>
      <c r="D73" s="26" t="s">
        <v>280</v>
      </c>
      <c r="E73" s="35" t="s">
        <v>520</v>
      </c>
      <c r="F73" s="26" t="s">
        <v>453</v>
      </c>
      <c r="G73" s="26" t="s">
        <v>111</v>
      </c>
      <c r="H73" s="26" t="s">
        <v>160</v>
      </c>
      <c r="I73" s="26"/>
      <c r="J73" s="26">
        <v>64</v>
      </c>
    </row>
    <row r="74" spans="1:10" ht="39">
      <c r="A74" s="26" t="s">
        <v>428</v>
      </c>
      <c r="B74" s="26" t="s">
        <v>429</v>
      </c>
      <c r="C74" s="26" t="s">
        <v>244</v>
      </c>
      <c r="D74" s="26" t="s">
        <v>245</v>
      </c>
      <c r="E74" s="35" t="s">
        <v>543</v>
      </c>
      <c r="F74" s="26" t="s">
        <v>453</v>
      </c>
      <c r="G74" s="26" t="s">
        <v>111</v>
      </c>
      <c r="H74" s="26" t="s">
        <v>160</v>
      </c>
      <c r="I74" s="26"/>
      <c r="J74" s="26">
        <v>54</v>
      </c>
    </row>
    <row r="75" spans="1:10" ht="39">
      <c r="A75" s="26" t="s">
        <v>428</v>
      </c>
      <c r="B75" s="26" t="s">
        <v>429</v>
      </c>
      <c r="C75" s="26" t="s">
        <v>75</v>
      </c>
      <c r="D75" s="26" t="s">
        <v>76</v>
      </c>
      <c r="E75" s="35" t="s">
        <v>544</v>
      </c>
      <c r="F75" s="26" t="s">
        <v>437</v>
      </c>
      <c r="G75" s="26" t="s">
        <v>77</v>
      </c>
      <c r="H75" s="26" t="s">
        <v>451</v>
      </c>
      <c r="I75" s="26"/>
      <c r="J75" s="26">
        <v>9</v>
      </c>
    </row>
    <row r="76" spans="1:10" ht="39">
      <c r="A76" s="26" t="s">
        <v>428</v>
      </c>
      <c r="B76" s="26" t="s">
        <v>429</v>
      </c>
      <c r="C76" s="26" t="s">
        <v>86</v>
      </c>
      <c r="D76" s="26" t="s">
        <v>87</v>
      </c>
      <c r="E76" s="35" t="s">
        <v>545</v>
      </c>
      <c r="F76" s="26" t="s">
        <v>437</v>
      </c>
      <c r="G76" s="26" t="s">
        <v>47</v>
      </c>
      <c r="H76" s="26" t="s">
        <v>160</v>
      </c>
      <c r="I76" s="26"/>
      <c r="J76" s="26">
        <v>12</v>
      </c>
    </row>
    <row r="77" spans="1:10" ht="39">
      <c r="A77" s="26" t="s">
        <v>428</v>
      </c>
      <c r="B77" s="26" t="s">
        <v>429</v>
      </c>
      <c r="C77" s="26" t="s">
        <v>80</v>
      </c>
      <c r="D77" s="26" t="s">
        <v>81</v>
      </c>
      <c r="E77" s="35" t="s">
        <v>546</v>
      </c>
      <c r="F77" s="26" t="s">
        <v>437</v>
      </c>
      <c r="G77" s="26" t="s">
        <v>47</v>
      </c>
      <c r="H77" s="26" t="s">
        <v>160</v>
      </c>
      <c r="I77" s="26"/>
      <c r="J77" s="26">
        <v>10</v>
      </c>
    </row>
    <row r="78" spans="1:10" ht="26.25">
      <c r="A78" s="26" t="s">
        <v>428</v>
      </c>
      <c r="B78" s="26" t="s">
        <v>429</v>
      </c>
      <c r="C78" s="26" t="s">
        <v>83</v>
      </c>
      <c r="D78" s="26" t="s">
        <v>84</v>
      </c>
      <c r="E78" s="35" t="s">
        <v>547</v>
      </c>
      <c r="F78" s="26" t="s">
        <v>437</v>
      </c>
      <c r="G78" s="26" t="s">
        <v>47</v>
      </c>
      <c r="H78" s="26" t="s">
        <v>160</v>
      </c>
      <c r="I78" s="26"/>
      <c r="J78" s="26">
        <v>11</v>
      </c>
    </row>
    <row r="79" spans="1:10" ht="396">
      <c r="A79" s="26" t="s">
        <v>428</v>
      </c>
      <c r="B79" s="26" t="s">
        <v>429</v>
      </c>
      <c r="C79" s="26" t="s">
        <v>294</v>
      </c>
      <c r="D79" s="26" t="s">
        <v>295</v>
      </c>
      <c r="E79" s="35" t="s">
        <v>548</v>
      </c>
      <c r="F79" s="26" t="s">
        <v>433</v>
      </c>
      <c r="G79" s="26" t="s">
        <v>101</v>
      </c>
      <c r="H79" s="26" t="s">
        <v>160</v>
      </c>
      <c r="I79" s="26"/>
      <c r="J79" s="26">
        <v>74</v>
      </c>
    </row>
    <row r="80" spans="1:10" ht="26.25">
      <c r="A80" s="26" t="s">
        <v>428</v>
      </c>
      <c r="B80" s="26" t="s">
        <v>429</v>
      </c>
      <c r="C80" s="26" t="s">
        <v>227</v>
      </c>
      <c r="D80" s="26" t="s">
        <v>228</v>
      </c>
      <c r="E80" s="35" t="s">
        <v>549</v>
      </c>
      <c r="F80" s="26" t="s">
        <v>550</v>
      </c>
      <c r="G80" s="26" t="s">
        <v>229</v>
      </c>
      <c r="H80" s="26" t="s">
        <v>160</v>
      </c>
      <c r="I80" s="26"/>
      <c r="J80" s="26">
        <v>50</v>
      </c>
    </row>
    <row r="81" spans="1:10" ht="51.75">
      <c r="A81" s="26" t="s">
        <v>428</v>
      </c>
      <c r="B81" s="26" t="s">
        <v>429</v>
      </c>
      <c r="C81" s="26" t="s">
        <v>551</v>
      </c>
      <c r="D81" s="26" t="s">
        <v>233</v>
      </c>
      <c r="E81" s="35" t="s">
        <v>552</v>
      </c>
      <c r="F81" s="26"/>
      <c r="G81" s="26" t="s">
        <v>91</v>
      </c>
      <c r="H81" s="26" t="s">
        <v>160</v>
      </c>
      <c r="I81" s="26" t="s">
        <v>504</v>
      </c>
      <c r="J81" s="26">
        <v>51</v>
      </c>
    </row>
    <row r="82" spans="1:10">
      <c r="A82" s="26" t="s">
        <v>428</v>
      </c>
      <c r="B82" s="26" t="s">
        <v>429</v>
      </c>
      <c r="C82" s="26" t="s">
        <v>553</v>
      </c>
      <c r="D82" s="26" t="s">
        <v>554</v>
      </c>
      <c r="E82" s="26" t="s">
        <v>450</v>
      </c>
      <c r="F82" s="26" t="s">
        <v>443</v>
      </c>
      <c r="G82" s="26" t="s">
        <v>41</v>
      </c>
      <c r="H82" s="26" t="s">
        <v>451</v>
      </c>
      <c r="I82" s="26"/>
      <c r="J82" s="26">
        <v>83</v>
      </c>
    </row>
    <row r="83" spans="1:10" ht="51.75">
      <c r="A83" s="26" t="s">
        <v>428</v>
      </c>
      <c r="B83" s="26" t="s">
        <v>429</v>
      </c>
      <c r="C83" s="26" t="s">
        <v>236</v>
      </c>
      <c r="D83" s="26" t="s">
        <v>237</v>
      </c>
      <c r="E83" s="35" t="s">
        <v>555</v>
      </c>
      <c r="F83" s="26" t="s">
        <v>437</v>
      </c>
      <c r="G83" s="26" t="s">
        <v>47</v>
      </c>
      <c r="H83" s="26" t="s">
        <v>160</v>
      </c>
      <c r="I83" s="26"/>
      <c r="J83" s="26">
        <v>52</v>
      </c>
    </row>
    <row r="84" spans="1:10" ht="39">
      <c r="A84" s="26" t="s">
        <v>428</v>
      </c>
      <c r="B84" s="26" t="s">
        <v>429</v>
      </c>
      <c r="C84" s="26" t="s">
        <v>239</v>
      </c>
      <c r="D84" s="26" t="s">
        <v>240</v>
      </c>
      <c r="E84" s="35" t="s">
        <v>543</v>
      </c>
      <c r="F84" s="26" t="s">
        <v>453</v>
      </c>
      <c r="G84" s="26" t="s">
        <v>111</v>
      </c>
      <c r="H84" s="26" t="s">
        <v>160</v>
      </c>
      <c r="I84" s="26"/>
      <c r="J84" s="26">
        <v>53</v>
      </c>
    </row>
    <row r="85" spans="1:10" ht="51.75">
      <c r="A85" s="26" t="s">
        <v>428</v>
      </c>
      <c r="B85" s="26" t="s">
        <v>429</v>
      </c>
      <c r="C85" s="26" t="s">
        <v>247</v>
      </c>
      <c r="D85" s="26" t="s">
        <v>248</v>
      </c>
      <c r="E85" s="35" t="s">
        <v>556</v>
      </c>
      <c r="F85" s="26" t="s">
        <v>456</v>
      </c>
      <c r="G85" s="26" t="s">
        <v>71</v>
      </c>
      <c r="H85" s="26" t="s">
        <v>160</v>
      </c>
      <c r="I85" s="26"/>
      <c r="J85" s="26">
        <v>55</v>
      </c>
    </row>
    <row r="86" spans="1:10" ht="39">
      <c r="A86" s="26" t="s">
        <v>428</v>
      </c>
      <c r="B86" s="26" t="s">
        <v>429</v>
      </c>
      <c r="C86" s="26" t="s">
        <v>256</v>
      </c>
      <c r="D86" s="26" t="s">
        <v>257</v>
      </c>
      <c r="E86" s="35" t="s">
        <v>557</v>
      </c>
      <c r="F86" s="26" t="s">
        <v>433</v>
      </c>
      <c r="G86" s="26" t="s">
        <v>101</v>
      </c>
      <c r="H86" s="26" t="s">
        <v>160</v>
      </c>
      <c r="I86" s="26"/>
      <c r="J86" s="26">
        <v>57</v>
      </c>
    </row>
    <row r="87" spans="1:10" ht="51.75">
      <c r="A87" s="26" t="s">
        <v>428</v>
      </c>
      <c r="B87" s="26" t="s">
        <v>429</v>
      </c>
      <c r="C87" s="26" t="s">
        <v>250</v>
      </c>
      <c r="D87" s="26" t="s">
        <v>251</v>
      </c>
      <c r="E87" s="35" t="s">
        <v>558</v>
      </c>
      <c r="F87" s="26" t="s">
        <v>456</v>
      </c>
      <c r="G87" s="26" t="s">
        <v>71</v>
      </c>
      <c r="H87" s="26" t="s">
        <v>160</v>
      </c>
      <c r="I87" s="26"/>
      <c r="J87" s="26">
        <v>56</v>
      </c>
    </row>
    <row r="88" spans="1:10">
      <c r="A88" s="26"/>
      <c r="B88" s="26"/>
      <c r="C88" s="26"/>
      <c r="D88" s="26"/>
      <c r="E88" s="35"/>
      <c r="F88" s="26"/>
      <c r="G88" s="26"/>
      <c r="H88" s="26"/>
      <c r="I88" s="26"/>
      <c r="J88" s="26"/>
    </row>
    <row r="89" spans="1:10">
      <c r="A89" s="26"/>
      <c r="B89" s="26"/>
      <c r="C89" s="26"/>
      <c r="D89" s="26"/>
      <c r="E89" s="35"/>
      <c r="F89" s="26"/>
      <c r="G89" s="26"/>
      <c r="H89" s="26"/>
      <c r="I89" s="26"/>
      <c r="J89" s="26"/>
    </row>
    <row r="90" spans="1:10">
      <c r="A90" s="26"/>
      <c r="B90" s="26"/>
      <c r="C90" s="26"/>
      <c r="D90" s="26"/>
      <c r="E90" s="35"/>
      <c r="F90" s="26"/>
      <c r="G90" s="26"/>
      <c r="H90" s="26"/>
      <c r="I90" s="26"/>
      <c r="J90" s="26"/>
    </row>
    <row r="91" spans="1:10">
      <c r="A91" s="26"/>
      <c r="B91" s="26"/>
      <c r="C91" s="26"/>
      <c r="D91" s="26"/>
      <c r="E91" s="35"/>
      <c r="F91" s="26"/>
      <c r="G91" s="26"/>
      <c r="H91" s="26"/>
      <c r="I91" s="26"/>
      <c r="J91" s="26"/>
    </row>
    <row r="92" spans="1:10">
      <c r="A92" s="26"/>
      <c r="B92" s="26"/>
      <c r="C92" s="26"/>
      <c r="D92" s="26"/>
      <c r="E92" s="26"/>
      <c r="F92" s="26"/>
      <c r="G92" s="26"/>
      <c r="H92" s="26"/>
      <c r="I92" s="26"/>
      <c r="J92" s="26"/>
    </row>
    <row r="93" spans="1:10">
      <c r="A93" s="26"/>
      <c r="B93" s="26"/>
      <c r="C93" s="26"/>
      <c r="D93" s="26"/>
      <c r="E93" s="35"/>
      <c r="F93" s="26"/>
      <c r="G93" s="26"/>
      <c r="H93" s="26"/>
      <c r="I93" s="26"/>
      <c r="J93" s="26"/>
    </row>
    <row r="94" spans="1:10">
      <c r="A94" s="26"/>
      <c r="B94" s="26"/>
      <c r="C94" s="26"/>
      <c r="D94" s="26"/>
      <c r="E94" s="26"/>
      <c r="F94" s="26"/>
      <c r="G94" s="26"/>
      <c r="H94" s="26"/>
      <c r="I94" s="26"/>
      <c r="J94" s="26"/>
    </row>
    <row r="95" spans="1:10">
      <c r="A95" s="26"/>
      <c r="B95" s="26"/>
      <c r="C95" s="26"/>
      <c r="D95" s="26"/>
      <c r="E95" s="35"/>
      <c r="F95" s="26"/>
      <c r="G95" s="26"/>
      <c r="H95" s="26"/>
      <c r="I95" s="26"/>
      <c r="J95" s="26"/>
    </row>
    <row r="96" spans="1:10">
      <c r="A96" s="26"/>
      <c r="B96" s="26"/>
      <c r="C96" s="26"/>
      <c r="D96" s="26"/>
      <c r="E96" s="35"/>
      <c r="F96" s="26"/>
      <c r="G96" s="26"/>
      <c r="H96" s="26"/>
      <c r="I96" s="26"/>
      <c r="J96" s="26"/>
    </row>
    <row r="97" spans="1:10">
      <c r="A97" s="26"/>
      <c r="B97" s="26"/>
      <c r="C97" s="26"/>
      <c r="D97" s="26"/>
      <c r="E97" s="35"/>
      <c r="F97" s="26"/>
      <c r="G97" s="26"/>
      <c r="H97" s="26"/>
      <c r="I97" s="26"/>
      <c r="J97" s="26"/>
    </row>
    <row r="98" spans="1:10">
      <c r="A98" s="26"/>
      <c r="B98" s="26"/>
      <c r="C98" s="26"/>
      <c r="D98" s="26"/>
      <c r="E98" s="35"/>
      <c r="F98" s="26"/>
      <c r="G98" s="26"/>
      <c r="H98" s="26"/>
      <c r="I98" s="26"/>
      <c r="J98" s="26"/>
    </row>
    <row r="99" spans="1:10">
      <c r="A99" s="26"/>
      <c r="B99" s="26"/>
      <c r="C99" s="26"/>
      <c r="D99" s="26"/>
      <c r="E99" s="35"/>
      <c r="F99" s="26"/>
      <c r="G99" s="26"/>
      <c r="H99" s="26"/>
      <c r="I99" s="26"/>
      <c r="J99" s="26"/>
    </row>
    <row r="100" spans="1:10">
      <c r="A100" s="26"/>
      <c r="B100" s="26"/>
      <c r="C100" s="26"/>
      <c r="D100" s="26"/>
      <c r="E100" s="35"/>
      <c r="F100" s="26"/>
      <c r="G100" s="26"/>
      <c r="H100" s="26"/>
      <c r="I100" s="26"/>
      <c r="J100" s="26"/>
    </row>
    <row r="101" spans="1:10">
      <c r="A101" s="26"/>
      <c r="B101" s="26"/>
      <c r="C101" s="26"/>
      <c r="D101" s="26"/>
      <c r="E101" s="35"/>
      <c r="F101" s="26"/>
      <c r="G101" s="26"/>
      <c r="H101" s="26"/>
      <c r="I101" s="26"/>
      <c r="J101" s="26"/>
    </row>
    <row r="102" spans="1:10">
      <c r="A102" s="26"/>
      <c r="B102" s="26"/>
      <c r="C102" s="26"/>
      <c r="D102" s="26"/>
      <c r="E102" s="35"/>
      <c r="F102" s="26"/>
      <c r="G102" s="26"/>
      <c r="H102" s="26"/>
      <c r="I102" s="26"/>
      <c r="J102" s="26"/>
    </row>
    <row r="103" spans="1:10">
      <c r="A103" s="26"/>
      <c r="B103" s="26"/>
      <c r="C103" s="26"/>
      <c r="D103" s="26"/>
      <c r="E103" s="35"/>
      <c r="F103" s="26"/>
      <c r="G103" s="26"/>
      <c r="H103" s="26"/>
      <c r="I103" s="26"/>
      <c r="J103" s="26"/>
    </row>
    <row r="104" spans="1:10">
      <c r="A104" s="26"/>
      <c r="B104" s="26"/>
      <c r="C104" s="26"/>
      <c r="D104" s="26"/>
      <c r="E104" s="35"/>
      <c r="F104" s="26"/>
      <c r="G104" s="26"/>
      <c r="H104" s="26"/>
      <c r="I104" s="26"/>
      <c r="J104" s="26"/>
    </row>
  </sheetData>
  <autoFilter ref="A1:J104" xr:uid="{B50240B8-EF78-4766-9060-74B30AC34ED0}"/>
  <sortState xmlns:xlrd2="http://schemas.microsoft.com/office/spreadsheetml/2017/richdata2" ref="A2:J87">
    <sortCondition ref="C2:C8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5B75-A1F2-489E-94F8-2E2D31B765CE}">
  <dimension ref="A1:F85"/>
  <sheetViews>
    <sheetView workbookViewId="0">
      <selection activeCell="B37" sqref="B37"/>
    </sheetView>
  </sheetViews>
  <sheetFormatPr defaultColWidth="8.85546875" defaultRowHeight="15"/>
  <cols>
    <col min="1" max="1" width="32.7109375" bestFit="1" customWidth="1"/>
  </cols>
  <sheetData>
    <row r="1" spans="1:6">
      <c r="A1" t="s">
        <v>324</v>
      </c>
      <c r="B1" t="s">
        <v>559</v>
      </c>
      <c r="C1" t="s">
        <v>560</v>
      </c>
      <c r="D1" t="s">
        <v>561</v>
      </c>
      <c r="E1" t="s">
        <v>562</v>
      </c>
      <c r="F1" t="s">
        <v>563</v>
      </c>
    </row>
    <row r="2" spans="1:6">
      <c r="A2" t="s">
        <v>431</v>
      </c>
      <c r="B2" t="s">
        <v>564</v>
      </c>
      <c r="C2" t="s">
        <v>48</v>
      </c>
      <c r="E2" s="25">
        <v>17</v>
      </c>
      <c r="F2" t="s">
        <v>565</v>
      </c>
    </row>
    <row r="3" spans="1:6">
      <c r="A3" t="s">
        <v>435</v>
      </c>
      <c r="B3" t="s">
        <v>566</v>
      </c>
      <c r="C3" t="s">
        <v>48</v>
      </c>
      <c r="E3" s="25">
        <v>18</v>
      </c>
      <c r="F3" t="s">
        <v>567</v>
      </c>
    </row>
    <row r="4" spans="1:6">
      <c r="A4" t="s">
        <v>70</v>
      </c>
      <c r="B4" t="s">
        <v>568</v>
      </c>
      <c r="C4" t="s">
        <v>48</v>
      </c>
      <c r="E4" s="25">
        <v>8</v>
      </c>
      <c r="F4" t="s">
        <v>569</v>
      </c>
    </row>
    <row r="5" spans="1:6">
      <c r="A5" t="s">
        <v>441</v>
      </c>
      <c r="B5" t="s">
        <v>41</v>
      </c>
      <c r="C5" t="s">
        <v>42</v>
      </c>
      <c r="E5" s="25">
        <v>15</v>
      </c>
      <c r="F5" t="s">
        <v>570</v>
      </c>
    </row>
    <row r="6" spans="1:6">
      <c r="A6" t="s">
        <v>291</v>
      </c>
      <c r="B6" t="s">
        <v>41</v>
      </c>
      <c r="C6" t="s">
        <v>48</v>
      </c>
      <c r="E6" s="25">
        <v>70</v>
      </c>
      <c r="F6" t="s">
        <v>571</v>
      </c>
    </row>
    <row r="7" spans="1:6">
      <c r="A7" t="s">
        <v>100</v>
      </c>
      <c r="B7" t="s">
        <v>564</v>
      </c>
      <c r="C7" t="s">
        <v>48</v>
      </c>
      <c r="E7" s="25">
        <v>16</v>
      </c>
      <c r="F7" t="s">
        <v>572</v>
      </c>
    </row>
    <row r="8" spans="1:6">
      <c r="A8" t="s">
        <v>107</v>
      </c>
      <c r="B8" t="s">
        <v>91</v>
      </c>
      <c r="C8" t="s">
        <v>48</v>
      </c>
      <c r="E8" s="25">
        <v>19</v>
      </c>
      <c r="F8" t="s">
        <v>573</v>
      </c>
    </row>
    <row r="9" spans="1:6">
      <c r="A9" t="s">
        <v>449</v>
      </c>
      <c r="B9" t="s">
        <v>41</v>
      </c>
      <c r="C9" t="s">
        <v>42</v>
      </c>
      <c r="E9" s="25">
        <v>75</v>
      </c>
      <c r="F9" t="s">
        <v>450</v>
      </c>
    </row>
    <row r="10" spans="1:6">
      <c r="A10" t="s">
        <v>110</v>
      </c>
      <c r="B10" t="s">
        <v>111</v>
      </c>
      <c r="C10" t="s">
        <v>48</v>
      </c>
      <c r="E10" s="25">
        <v>20</v>
      </c>
      <c r="F10" t="s">
        <v>574</v>
      </c>
    </row>
    <row r="11" spans="1:6">
      <c r="A11" t="s">
        <v>170</v>
      </c>
      <c r="B11" t="s">
        <v>568</v>
      </c>
      <c r="C11" t="s">
        <v>48</v>
      </c>
      <c r="E11" s="25">
        <v>36</v>
      </c>
      <c r="F11" t="s">
        <v>575</v>
      </c>
    </row>
    <row r="12" spans="1:6">
      <c r="A12" t="s">
        <v>458</v>
      </c>
      <c r="B12" t="s">
        <v>41</v>
      </c>
      <c r="C12" t="s">
        <v>42</v>
      </c>
      <c r="E12" s="25">
        <v>7</v>
      </c>
      <c r="F12" t="s">
        <v>576</v>
      </c>
    </row>
    <row r="13" spans="1:6">
      <c r="A13" t="s">
        <v>55</v>
      </c>
      <c r="B13" t="s">
        <v>59</v>
      </c>
      <c r="C13" t="s">
        <v>48</v>
      </c>
      <c r="E13" s="25">
        <v>3</v>
      </c>
      <c r="F13" t="s">
        <v>577</v>
      </c>
    </row>
    <row r="14" spans="1:6">
      <c r="A14" t="s">
        <v>466</v>
      </c>
      <c r="B14" t="s">
        <v>578</v>
      </c>
      <c r="C14" t="s">
        <v>48</v>
      </c>
      <c r="E14" s="25">
        <v>22</v>
      </c>
      <c r="F14" t="s">
        <v>579</v>
      </c>
    </row>
    <row r="15" spans="1:6">
      <c r="A15" t="s">
        <v>67</v>
      </c>
      <c r="B15" t="s">
        <v>59</v>
      </c>
      <c r="C15" t="s">
        <v>48</v>
      </c>
      <c r="E15" s="25">
        <v>5</v>
      </c>
      <c r="F15" t="s">
        <v>580</v>
      </c>
    </row>
    <row r="16" spans="1:6">
      <c r="A16" t="s">
        <v>117</v>
      </c>
      <c r="B16" t="s">
        <v>581</v>
      </c>
      <c r="C16" t="s">
        <v>48</v>
      </c>
      <c r="E16" s="25">
        <v>23</v>
      </c>
      <c r="F16" t="s">
        <v>582</v>
      </c>
    </row>
    <row r="17" spans="1:6">
      <c r="A17" t="s">
        <v>61</v>
      </c>
      <c r="B17" t="s">
        <v>59</v>
      </c>
      <c r="C17" t="s">
        <v>48</v>
      </c>
      <c r="E17" s="25">
        <v>4</v>
      </c>
      <c r="F17" t="s">
        <v>583</v>
      </c>
    </row>
    <row r="18" spans="1:6">
      <c r="A18" t="s">
        <v>185</v>
      </c>
      <c r="B18" t="s">
        <v>111</v>
      </c>
      <c r="C18" t="s">
        <v>48</v>
      </c>
      <c r="E18" s="25">
        <v>39</v>
      </c>
      <c r="F18" t="s">
        <v>584</v>
      </c>
    </row>
    <row r="19" spans="1:6">
      <c r="A19" t="s">
        <v>131</v>
      </c>
      <c r="B19" t="s">
        <v>568</v>
      </c>
      <c r="C19" t="s">
        <v>48</v>
      </c>
      <c r="E19" s="25">
        <v>26</v>
      </c>
      <c r="F19" t="s">
        <v>585</v>
      </c>
    </row>
    <row r="20" spans="1:6">
      <c r="A20" t="s">
        <v>299</v>
      </c>
      <c r="B20" t="s">
        <v>568</v>
      </c>
      <c r="C20" t="s">
        <v>48</v>
      </c>
      <c r="E20" s="25">
        <v>82</v>
      </c>
      <c r="F20" t="s">
        <v>586</v>
      </c>
    </row>
    <row r="21" spans="1:6">
      <c r="A21" t="s">
        <v>476</v>
      </c>
      <c r="B21" t="s">
        <v>568</v>
      </c>
      <c r="C21" t="s">
        <v>48</v>
      </c>
      <c r="E21" s="25">
        <v>21</v>
      </c>
      <c r="F21" t="s">
        <v>477</v>
      </c>
    </row>
    <row r="22" spans="1:6">
      <c r="A22" t="s">
        <v>310</v>
      </c>
      <c r="B22" t="s">
        <v>311</v>
      </c>
      <c r="C22" t="s">
        <v>42</v>
      </c>
      <c r="D22" t="s">
        <v>587</v>
      </c>
      <c r="E22" s="25">
        <v>65</v>
      </c>
    </row>
    <row r="23" spans="1:6">
      <c r="A23" t="s">
        <v>314</v>
      </c>
      <c r="B23" t="s">
        <v>588</v>
      </c>
      <c r="C23" t="s">
        <v>42</v>
      </c>
      <c r="D23" t="s">
        <v>589</v>
      </c>
      <c r="E23" s="25">
        <v>66</v>
      </c>
      <c r="F23" t="s">
        <v>590</v>
      </c>
    </row>
    <row r="24" spans="1:6">
      <c r="A24" t="s">
        <v>123</v>
      </c>
      <c r="B24" t="s">
        <v>566</v>
      </c>
      <c r="C24" t="s">
        <v>48</v>
      </c>
      <c r="E24" s="25">
        <v>24</v>
      </c>
      <c r="F24" t="s">
        <v>591</v>
      </c>
    </row>
    <row r="25" spans="1:6">
      <c r="A25" t="s">
        <v>127</v>
      </c>
      <c r="B25" t="s">
        <v>566</v>
      </c>
      <c r="C25" t="s">
        <v>48</v>
      </c>
      <c r="E25" s="25">
        <v>25</v>
      </c>
      <c r="F25" t="s">
        <v>592</v>
      </c>
    </row>
    <row r="26" spans="1:6">
      <c r="A26" t="s">
        <v>135</v>
      </c>
      <c r="B26" t="s">
        <v>111</v>
      </c>
      <c r="C26" t="s">
        <v>48</v>
      </c>
      <c r="E26" s="25">
        <v>27</v>
      </c>
      <c r="F26" t="s">
        <v>593</v>
      </c>
    </row>
    <row r="27" spans="1:6">
      <c r="A27" t="s">
        <v>484</v>
      </c>
      <c r="B27" t="s">
        <v>568</v>
      </c>
      <c r="C27" t="s">
        <v>48</v>
      </c>
      <c r="E27" s="25">
        <v>83</v>
      </c>
      <c r="F27" t="s">
        <v>594</v>
      </c>
    </row>
    <row r="28" spans="1:6">
      <c r="A28" t="s">
        <v>96</v>
      </c>
      <c r="B28" t="s">
        <v>91</v>
      </c>
      <c r="C28" t="s">
        <v>48</v>
      </c>
      <c r="E28" s="25">
        <v>14</v>
      </c>
      <c r="F28" t="s">
        <v>595</v>
      </c>
    </row>
    <row r="29" spans="1:6">
      <c r="A29" t="s">
        <v>489</v>
      </c>
      <c r="B29" t="s">
        <v>41</v>
      </c>
      <c r="C29" t="s">
        <v>42</v>
      </c>
      <c r="E29" s="25">
        <v>73</v>
      </c>
      <c r="F29" t="s">
        <v>450</v>
      </c>
    </row>
    <row r="30" spans="1:6">
      <c r="A30" t="s">
        <v>90</v>
      </c>
      <c r="B30" t="s">
        <v>91</v>
      </c>
      <c r="C30" t="s">
        <v>42</v>
      </c>
      <c r="E30" s="25">
        <v>13</v>
      </c>
      <c r="F30" t="s">
        <v>596</v>
      </c>
    </row>
    <row r="31" spans="1:6">
      <c r="A31" t="s">
        <v>492</v>
      </c>
      <c r="B31" t="s">
        <v>41</v>
      </c>
      <c r="C31" t="s">
        <v>42</v>
      </c>
      <c r="E31" s="25">
        <v>74</v>
      </c>
      <c r="F31" t="s">
        <v>450</v>
      </c>
    </row>
    <row r="32" spans="1:6">
      <c r="A32" t="s">
        <v>139</v>
      </c>
      <c r="B32" t="s">
        <v>111</v>
      </c>
      <c r="C32" t="s">
        <v>48</v>
      </c>
      <c r="E32" s="25">
        <v>28</v>
      </c>
      <c r="F32" t="s">
        <v>597</v>
      </c>
    </row>
    <row r="33" spans="1:6">
      <c r="A33" t="s">
        <v>143</v>
      </c>
      <c r="B33" t="s">
        <v>111</v>
      </c>
      <c r="C33" t="s">
        <v>48</v>
      </c>
      <c r="E33" s="25">
        <v>29</v>
      </c>
      <c r="F33" t="s">
        <v>598</v>
      </c>
    </row>
    <row r="34" spans="1:6">
      <c r="A34" t="s">
        <v>148</v>
      </c>
      <c r="B34" t="s">
        <v>91</v>
      </c>
      <c r="C34" t="s">
        <v>48</v>
      </c>
      <c r="E34" s="25">
        <v>30</v>
      </c>
      <c r="F34" t="s">
        <v>599</v>
      </c>
    </row>
    <row r="35" spans="1:6">
      <c r="A35" t="s">
        <v>497</v>
      </c>
      <c r="B35" t="s">
        <v>41</v>
      </c>
      <c r="C35" t="s">
        <v>42</v>
      </c>
      <c r="E35" s="25">
        <v>76</v>
      </c>
      <c r="F35" t="s">
        <v>450</v>
      </c>
    </row>
    <row r="36" spans="1:6">
      <c r="A36" t="s">
        <v>499</v>
      </c>
      <c r="B36" t="s">
        <v>41</v>
      </c>
      <c r="C36" t="s">
        <v>42</v>
      </c>
      <c r="E36" s="25">
        <v>6</v>
      </c>
      <c r="F36" t="s">
        <v>600</v>
      </c>
    </row>
    <row r="37" spans="1:6">
      <c r="A37" t="s">
        <v>319</v>
      </c>
      <c r="B37" t="s">
        <v>311</v>
      </c>
      <c r="C37" t="s">
        <v>42</v>
      </c>
      <c r="D37" t="s">
        <v>587</v>
      </c>
      <c r="E37" s="25">
        <v>71</v>
      </c>
    </row>
    <row r="38" spans="1:6">
      <c r="A38" t="s">
        <v>322</v>
      </c>
      <c r="B38" t="s">
        <v>588</v>
      </c>
      <c r="C38" t="s">
        <v>42</v>
      </c>
      <c r="D38" t="s">
        <v>589</v>
      </c>
      <c r="E38" s="25">
        <v>72</v>
      </c>
      <c r="F38" t="s">
        <v>601</v>
      </c>
    </row>
    <row r="39" spans="1:6">
      <c r="A39" t="s">
        <v>162</v>
      </c>
      <c r="B39" t="s">
        <v>111</v>
      </c>
      <c r="C39" t="s">
        <v>48</v>
      </c>
      <c r="E39" s="25">
        <v>34</v>
      </c>
      <c r="F39" t="s">
        <v>602</v>
      </c>
    </row>
    <row r="40" spans="1:6">
      <c r="A40" t="s">
        <v>154</v>
      </c>
      <c r="B40" t="s">
        <v>568</v>
      </c>
      <c r="C40" t="s">
        <v>48</v>
      </c>
      <c r="E40" s="25">
        <v>32</v>
      </c>
      <c r="F40" t="s">
        <v>603</v>
      </c>
    </row>
    <row r="41" spans="1:6">
      <c r="A41" t="s">
        <v>158</v>
      </c>
      <c r="B41" t="s">
        <v>568</v>
      </c>
      <c r="C41" t="s">
        <v>48</v>
      </c>
      <c r="E41" s="25">
        <v>33</v>
      </c>
      <c r="F41" t="s">
        <v>604</v>
      </c>
    </row>
    <row r="42" spans="1:6">
      <c r="A42" t="s">
        <v>165</v>
      </c>
      <c r="B42" t="s">
        <v>568</v>
      </c>
      <c r="C42" t="s">
        <v>48</v>
      </c>
      <c r="E42" s="25">
        <v>35</v>
      </c>
      <c r="F42" t="s">
        <v>605</v>
      </c>
    </row>
    <row r="43" spans="1:6">
      <c r="A43" t="s">
        <v>303</v>
      </c>
      <c r="B43" t="s">
        <v>568</v>
      </c>
      <c r="C43" t="s">
        <v>48</v>
      </c>
      <c r="E43" s="25">
        <v>84</v>
      </c>
      <c r="F43" t="s">
        <v>606</v>
      </c>
    </row>
    <row r="44" spans="1:6">
      <c r="A44" t="s">
        <v>174</v>
      </c>
      <c r="B44" t="s">
        <v>111</v>
      </c>
      <c r="C44" t="s">
        <v>48</v>
      </c>
      <c r="E44" s="25">
        <v>37</v>
      </c>
      <c r="F44" t="s">
        <v>607</v>
      </c>
    </row>
    <row r="45" spans="1:6">
      <c r="A45" t="s">
        <v>512</v>
      </c>
      <c r="B45" t="s">
        <v>41</v>
      </c>
      <c r="C45" t="s">
        <v>42</v>
      </c>
      <c r="E45" s="25">
        <v>1</v>
      </c>
    </row>
    <row r="46" spans="1:6">
      <c r="A46" t="s">
        <v>179</v>
      </c>
      <c r="B46" t="s">
        <v>566</v>
      </c>
      <c r="C46" t="s">
        <v>48</v>
      </c>
      <c r="E46" s="25">
        <v>38</v>
      </c>
      <c r="F46" t="s">
        <v>608</v>
      </c>
    </row>
    <row r="47" spans="1:6">
      <c r="A47" t="s">
        <v>190</v>
      </c>
      <c r="B47" t="s">
        <v>609</v>
      </c>
      <c r="C47" t="s">
        <v>48</v>
      </c>
      <c r="E47" s="25">
        <v>40</v>
      </c>
      <c r="F47" t="s">
        <v>610</v>
      </c>
    </row>
    <row r="48" spans="1:6">
      <c r="A48" t="s">
        <v>196</v>
      </c>
      <c r="B48" t="s">
        <v>111</v>
      </c>
      <c r="C48" t="s">
        <v>48</v>
      </c>
      <c r="E48" s="25">
        <v>41</v>
      </c>
      <c r="F48" t="s">
        <v>611</v>
      </c>
    </row>
    <row r="49" spans="1:6">
      <c r="A49" t="s">
        <v>201</v>
      </c>
      <c r="B49" t="s">
        <v>111</v>
      </c>
      <c r="C49" t="s">
        <v>48</v>
      </c>
      <c r="E49" s="25">
        <v>42</v>
      </c>
      <c r="F49" t="s">
        <v>612</v>
      </c>
    </row>
    <row r="50" spans="1:6">
      <c r="A50" t="s">
        <v>206</v>
      </c>
      <c r="B50" t="s">
        <v>609</v>
      </c>
      <c r="C50" t="s">
        <v>48</v>
      </c>
      <c r="E50" s="25">
        <v>43</v>
      </c>
      <c r="F50" t="s">
        <v>613</v>
      </c>
    </row>
    <row r="51" spans="1:6">
      <c r="A51" t="s">
        <v>151</v>
      </c>
      <c r="B51" t="s">
        <v>91</v>
      </c>
      <c r="C51" t="s">
        <v>48</v>
      </c>
      <c r="E51" s="25">
        <v>31</v>
      </c>
      <c r="F51" t="s">
        <v>614</v>
      </c>
    </row>
    <row r="52" spans="1:6">
      <c r="A52" t="s">
        <v>524</v>
      </c>
      <c r="B52" t="s">
        <v>41</v>
      </c>
      <c r="C52" t="s">
        <v>42</v>
      </c>
      <c r="E52" s="25">
        <v>79</v>
      </c>
      <c r="F52" t="s">
        <v>450</v>
      </c>
    </row>
    <row r="53" spans="1:6">
      <c r="A53" t="s">
        <v>209</v>
      </c>
      <c r="B53" t="s">
        <v>111</v>
      </c>
      <c r="C53" t="s">
        <v>48</v>
      </c>
      <c r="E53" s="25">
        <v>44</v>
      </c>
      <c r="F53" t="s">
        <v>615</v>
      </c>
    </row>
    <row r="54" spans="1:6">
      <c r="A54" t="s">
        <v>212</v>
      </c>
      <c r="B54" t="s">
        <v>111</v>
      </c>
      <c r="C54" t="s">
        <v>48</v>
      </c>
      <c r="E54" s="25">
        <v>45</v>
      </c>
      <c r="F54" t="s">
        <v>616</v>
      </c>
    </row>
    <row r="55" spans="1:6">
      <c r="A55" t="s">
        <v>221</v>
      </c>
      <c r="B55" t="s">
        <v>568</v>
      </c>
      <c r="C55" t="s">
        <v>48</v>
      </c>
      <c r="E55" s="25">
        <v>47</v>
      </c>
      <c r="F55" t="s">
        <v>617</v>
      </c>
    </row>
    <row r="56" spans="1:6">
      <c r="A56" t="s">
        <v>264</v>
      </c>
      <c r="B56" t="s">
        <v>111</v>
      </c>
      <c r="C56" t="s">
        <v>48</v>
      </c>
      <c r="E56" s="25">
        <v>59</v>
      </c>
      <c r="F56" t="s">
        <v>618</v>
      </c>
    </row>
    <row r="57" spans="1:6">
      <c r="A57" t="s">
        <v>272</v>
      </c>
      <c r="B57" t="s">
        <v>111</v>
      </c>
      <c r="C57" t="s">
        <v>48</v>
      </c>
      <c r="E57" s="25">
        <v>62</v>
      </c>
      <c r="F57" t="s">
        <v>619</v>
      </c>
    </row>
    <row r="58" spans="1:6">
      <c r="A58" t="s">
        <v>261</v>
      </c>
      <c r="B58" t="s">
        <v>111</v>
      </c>
      <c r="C58" t="s">
        <v>48</v>
      </c>
      <c r="E58" s="25">
        <v>58</v>
      </c>
      <c r="F58" t="s">
        <v>593</v>
      </c>
    </row>
    <row r="59" spans="1:6">
      <c r="A59" t="s">
        <v>267</v>
      </c>
      <c r="B59" t="s">
        <v>111</v>
      </c>
      <c r="C59" t="s">
        <v>48</v>
      </c>
      <c r="E59" s="25">
        <v>60</v>
      </c>
      <c r="F59" t="s">
        <v>620</v>
      </c>
    </row>
    <row r="60" spans="1:6">
      <c r="A60" t="s">
        <v>176</v>
      </c>
      <c r="B60" t="s">
        <v>111</v>
      </c>
      <c r="C60" t="s">
        <v>48</v>
      </c>
      <c r="E60" s="25">
        <v>61</v>
      </c>
      <c r="F60" t="s">
        <v>621</v>
      </c>
    </row>
    <row r="61" spans="1:6">
      <c r="A61" t="s">
        <v>198</v>
      </c>
      <c r="B61" t="s">
        <v>276</v>
      </c>
      <c r="C61" t="s">
        <v>48</v>
      </c>
      <c r="E61" s="25">
        <v>63</v>
      </c>
      <c r="F61" t="s">
        <v>622</v>
      </c>
    </row>
    <row r="62" spans="1:6">
      <c r="A62" t="s">
        <v>280</v>
      </c>
      <c r="B62" t="s">
        <v>111</v>
      </c>
      <c r="C62" t="s">
        <v>48</v>
      </c>
      <c r="E62" s="25">
        <v>64</v>
      </c>
      <c r="F62" t="s">
        <v>612</v>
      </c>
    </row>
    <row r="63" spans="1:6">
      <c r="A63" t="s">
        <v>245</v>
      </c>
      <c r="B63" t="s">
        <v>111</v>
      </c>
      <c r="C63" t="s">
        <v>48</v>
      </c>
      <c r="E63" s="25">
        <v>54</v>
      </c>
      <c r="F63" t="s">
        <v>623</v>
      </c>
    </row>
    <row r="64" spans="1:6">
      <c r="A64" t="s">
        <v>225</v>
      </c>
      <c r="B64" t="s">
        <v>91</v>
      </c>
      <c r="C64" t="s">
        <v>48</v>
      </c>
      <c r="E64" s="25">
        <v>48</v>
      </c>
      <c r="F64" t="s">
        <v>624</v>
      </c>
    </row>
    <row r="65" spans="1:6">
      <c r="A65" t="s">
        <v>530</v>
      </c>
      <c r="B65" t="s">
        <v>41</v>
      </c>
      <c r="C65" t="s">
        <v>42</v>
      </c>
      <c r="E65" s="25">
        <v>77</v>
      </c>
      <c r="F65" t="s">
        <v>450</v>
      </c>
    </row>
    <row r="66" spans="1:6">
      <c r="A66" t="s">
        <v>307</v>
      </c>
      <c r="B66" t="s">
        <v>41</v>
      </c>
      <c r="C66" t="s">
        <v>48</v>
      </c>
      <c r="E66" s="25">
        <v>67</v>
      </c>
    </row>
    <row r="67" spans="1:6">
      <c r="A67" t="s">
        <v>532</v>
      </c>
      <c r="B67" t="s">
        <v>91</v>
      </c>
      <c r="C67" t="s">
        <v>48</v>
      </c>
      <c r="E67" s="25">
        <v>49</v>
      </c>
      <c r="F67" t="s">
        <v>625</v>
      </c>
    </row>
    <row r="68" spans="1:6">
      <c r="A68" t="s">
        <v>216</v>
      </c>
      <c r="B68" t="s">
        <v>566</v>
      </c>
      <c r="C68" t="s">
        <v>48</v>
      </c>
      <c r="E68" s="25">
        <v>46</v>
      </c>
      <c r="F68" t="s">
        <v>626</v>
      </c>
    </row>
    <row r="69" spans="1:6">
      <c r="A69" t="s">
        <v>46</v>
      </c>
      <c r="B69" t="s">
        <v>566</v>
      </c>
      <c r="C69" t="s">
        <v>48</v>
      </c>
      <c r="E69" s="25">
        <v>2</v>
      </c>
      <c r="F69" t="s">
        <v>627</v>
      </c>
    </row>
    <row r="70" spans="1:6">
      <c r="A70" t="s">
        <v>537</v>
      </c>
      <c r="B70" t="s">
        <v>41</v>
      </c>
      <c r="C70" t="s">
        <v>42</v>
      </c>
      <c r="E70" s="25">
        <v>80</v>
      </c>
      <c r="F70" t="s">
        <v>538</v>
      </c>
    </row>
    <row r="71" spans="1:6">
      <c r="A71" t="s">
        <v>282</v>
      </c>
      <c r="B71" t="s">
        <v>41</v>
      </c>
      <c r="C71" t="s">
        <v>48</v>
      </c>
      <c r="E71" s="25">
        <v>68</v>
      </c>
      <c r="F71" t="s">
        <v>628</v>
      </c>
    </row>
    <row r="72" spans="1:6">
      <c r="A72" t="s">
        <v>285</v>
      </c>
      <c r="B72" t="s">
        <v>629</v>
      </c>
      <c r="C72" t="s">
        <v>48</v>
      </c>
      <c r="E72" s="25">
        <v>69</v>
      </c>
      <c r="F72" t="s">
        <v>630</v>
      </c>
    </row>
    <row r="73" spans="1:6">
      <c r="A73" t="s">
        <v>76</v>
      </c>
      <c r="B73" t="s">
        <v>631</v>
      </c>
      <c r="C73" t="s">
        <v>48</v>
      </c>
      <c r="E73" s="25">
        <v>9</v>
      </c>
      <c r="F73" t="s">
        <v>632</v>
      </c>
    </row>
    <row r="74" spans="1:6">
      <c r="A74" t="s">
        <v>87</v>
      </c>
      <c r="B74" t="s">
        <v>41</v>
      </c>
      <c r="C74" t="s">
        <v>48</v>
      </c>
      <c r="E74" s="25">
        <v>12</v>
      </c>
      <c r="F74" t="s">
        <v>633</v>
      </c>
    </row>
    <row r="75" spans="1:6">
      <c r="A75" t="s">
        <v>81</v>
      </c>
      <c r="B75" t="s">
        <v>566</v>
      </c>
      <c r="C75" t="s">
        <v>48</v>
      </c>
      <c r="E75" s="25">
        <v>10</v>
      </c>
      <c r="F75" t="s">
        <v>634</v>
      </c>
    </row>
    <row r="76" spans="1:6">
      <c r="A76" t="s">
        <v>84</v>
      </c>
      <c r="B76" t="s">
        <v>41</v>
      </c>
      <c r="C76" t="s">
        <v>48</v>
      </c>
      <c r="E76" s="25">
        <v>11</v>
      </c>
      <c r="F76" t="s">
        <v>635</v>
      </c>
    </row>
    <row r="77" spans="1:6">
      <c r="A77" t="s">
        <v>295</v>
      </c>
      <c r="B77" t="s">
        <v>564</v>
      </c>
      <c r="C77" t="s">
        <v>48</v>
      </c>
      <c r="E77" s="25">
        <v>81</v>
      </c>
      <c r="F77" t="s">
        <v>636</v>
      </c>
    </row>
    <row r="78" spans="1:6">
      <c r="A78" t="s">
        <v>228</v>
      </c>
      <c r="B78" t="s">
        <v>578</v>
      </c>
      <c r="C78" t="s">
        <v>48</v>
      </c>
      <c r="E78" s="25">
        <v>50</v>
      </c>
      <c r="F78" t="s">
        <v>637</v>
      </c>
    </row>
    <row r="79" spans="1:6">
      <c r="A79" t="s">
        <v>233</v>
      </c>
      <c r="B79" t="s">
        <v>91</v>
      </c>
      <c r="C79" t="s">
        <v>48</v>
      </c>
      <c r="E79" s="25">
        <v>51</v>
      </c>
      <c r="F79" t="s">
        <v>638</v>
      </c>
    </row>
    <row r="80" spans="1:6">
      <c r="A80" t="s">
        <v>554</v>
      </c>
      <c r="B80" t="s">
        <v>41</v>
      </c>
      <c r="C80" t="s">
        <v>42</v>
      </c>
      <c r="E80" s="25">
        <v>78</v>
      </c>
      <c r="F80" t="s">
        <v>450</v>
      </c>
    </row>
    <row r="81" spans="1:6">
      <c r="A81" t="s">
        <v>237</v>
      </c>
      <c r="B81" t="s">
        <v>566</v>
      </c>
      <c r="C81" t="s">
        <v>48</v>
      </c>
      <c r="E81" s="25">
        <v>52</v>
      </c>
      <c r="F81" t="s">
        <v>639</v>
      </c>
    </row>
    <row r="82" spans="1:6">
      <c r="A82" t="s">
        <v>240</v>
      </c>
      <c r="B82" t="s">
        <v>111</v>
      </c>
      <c r="C82" t="s">
        <v>48</v>
      </c>
      <c r="E82" s="25">
        <v>53</v>
      </c>
      <c r="F82" t="s">
        <v>623</v>
      </c>
    </row>
    <row r="83" spans="1:6">
      <c r="A83" t="s">
        <v>248</v>
      </c>
      <c r="B83" t="s">
        <v>568</v>
      </c>
      <c r="C83" t="s">
        <v>48</v>
      </c>
      <c r="E83" s="25">
        <v>55</v>
      </c>
      <c r="F83" t="s">
        <v>640</v>
      </c>
    </row>
    <row r="84" spans="1:6">
      <c r="A84" t="s">
        <v>257</v>
      </c>
      <c r="B84" t="s">
        <v>564</v>
      </c>
      <c r="C84" t="s">
        <v>48</v>
      </c>
      <c r="E84" s="25">
        <v>57</v>
      </c>
      <c r="F84" t="s">
        <v>641</v>
      </c>
    </row>
    <row r="85" spans="1:6">
      <c r="A85" t="s">
        <v>251</v>
      </c>
      <c r="B85" t="s">
        <v>642</v>
      </c>
      <c r="C85" t="s">
        <v>48</v>
      </c>
      <c r="E85" s="25">
        <v>56</v>
      </c>
      <c r="F85" t="s">
        <v>643</v>
      </c>
    </row>
  </sheetData>
  <sortState xmlns:xlrd2="http://schemas.microsoft.com/office/spreadsheetml/2017/richdata2" ref="A2:K90">
    <sortCondition ref="A2:A9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84F7F3-77E9-4523-AFE1-BA9C3C1DDA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ac66-a331-4fe6-8d0f-c6fea2346e24"/>
    <ds:schemaRef ds:uri="58a27bba-3e67-43d1-8504-e8ab04907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B92FD7-3D67-4D76-9D89-2FC79341A64F}">
  <ds:schemaRefs>
    <ds:schemaRef ds:uri="http://schemas.microsoft.com/office/2006/metadata/properties"/>
    <ds:schemaRef ds:uri="http://schemas.microsoft.com/office/infopath/2007/PartnerControls"/>
    <ds:schemaRef ds:uri="58a27bba-3e67-43d1-8504-e8ab049072dd"/>
    <ds:schemaRef ds:uri="8889ac66-a331-4fe6-8d0f-c6fea2346e24"/>
  </ds:schemaRefs>
</ds:datastoreItem>
</file>

<file path=customXml/itemProps3.xml><?xml version="1.0" encoding="utf-8"?>
<ds:datastoreItem xmlns:ds="http://schemas.openxmlformats.org/officeDocument/2006/customXml" ds:itemID="{A1E513F4-A103-415D-B9AD-2F9B0BEDFF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Table-View</vt:lpstr>
      <vt:lpstr>View</vt:lpstr>
      <vt:lpstr>Grain Columns</vt:lpstr>
      <vt:lpstr>ETL Notes</vt:lpstr>
      <vt:lpstr>Additional View</vt:lpstr>
      <vt:lpstr>Model</vt:lpstr>
      <vt:lpstr>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2026-04-22T15:48:05Z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