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filterPrivacy="1" defaultThemeVersion="124226"/>
  <xr:revisionPtr revIDLastSave="0" documentId="8_{96330A85-761B-411A-8F5A-6DC41BEA9494}" xr6:coauthVersionLast="47" xr6:coauthVersionMax="47" xr10:uidLastSave="{00000000-0000-0000-0000-000000000000}"/>
  <bookViews>
    <workbookView xWindow="-120" yWindow="-120" windowWidth="29040" windowHeight="15840" xr2:uid="{00000000-000D-0000-FFFF-FFFF00000000}"/>
  </bookViews>
  <sheets>
    <sheet name="Table-View" sheetId="13" r:id="rId1"/>
    <sheet name="View" sheetId="21" r:id="rId2"/>
    <sheet name="Grain Columns" sheetId="18" r:id="rId3"/>
    <sheet name="ETL Notes" sheetId="20" r:id="rId4"/>
    <sheet name="Additional View" sheetId="14" r:id="rId5"/>
    <sheet name="Model" sheetId="16" r:id="rId6"/>
    <sheet name="Table" sheetId="17" r:id="rId7"/>
  </sheets>
  <definedNames>
    <definedName name="_xlnm._FilterDatabase" localSheetId="5" hidden="1">Model!$A$1:$J$104</definedName>
    <definedName name="_xlnm._FilterDatabase" localSheetId="0" hidden="1">'Table-View'!$A$9:$AA$76</definedName>
    <definedName name="_xlnm._FilterDatabase" localSheetId="1" hidden="1">View!$A$1:$I$82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 i="13" l="1"/>
  <c r="O14" i="13"/>
  <c r="P14" i="13"/>
  <c r="Q14" i="13"/>
  <c r="R14" i="13"/>
  <c r="S14" i="13"/>
  <c r="M15" i="13"/>
  <c r="O15" i="13"/>
  <c r="P15" i="13"/>
  <c r="Q15" i="13"/>
  <c r="R15" i="13"/>
  <c r="S15" i="13"/>
  <c r="M16" i="13"/>
  <c r="O16" i="13"/>
  <c r="P16" i="13"/>
  <c r="Q16" i="13"/>
  <c r="R16" i="13"/>
  <c r="S16" i="13"/>
  <c r="M17" i="13"/>
  <c r="O17" i="13"/>
  <c r="P17" i="13"/>
  <c r="Q17" i="13"/>
  <c r="R17" i="13"/>
  <c r="S17" i="13"/>
  <c r="M18" i="13"/>
  <c r="O18" i="13"/>
  <c r="P18" i="13"/>
  <c r="Q18" i="13"/>
  <c r="R18" i="13"/>
  <c r="S18" i="13"/>
  <c r="M19" i="13"/>
  <c r="O19" i="13"/>
  <c r="P19" i="13"/>
  <c r="Q19" i="13"/>
  <c r="R19" i="13"/>
  <c r="S19" i="13"/>
  <c r="M20" i="13"/>
  <c r="O20" i="13"/>
  <c r="P20" i="13"/>
  <c r="Q20" i="13"/>
  <c r="R20" i="13"/>
  <c r="S20" i="13"/>
  <c r="M21" i="13"/>
  <c r="O21" i="13"/>
  <c r="P21" i="13"/>
  <c r="Q21" i="13"/>
  <c r="R21" i="13"/>
  <c r="S21" i="13"/>
  <c r="M22" i="13"/>
  <c r="O22" i="13"/>
  <c r="P22" i="13"/>
  <c r="Q22" i="13"/>
  <c r="R22" i="13"/>
  <c r="S22" i="13"/>
  <c r="M24" i="13"/>
  <c r="O24" i="13"/>
  <c r="P24" i="13"/>
  <c r="Q24" i="13"/>
  <c r="R24" i="13"/>
  <c r="S24" i="13"/>
  <c r="M13" i="13"/>
  <c r="O13" i="13"/>
  <c r="P13" i="13"/>
  <c r="Q13" i="13"/>
  <c r="R13" i="13"/>
  <c r="S13" i="13"/>
  <c r="M11" i="13"/>
  <c r="O11" i="13"/>
  <c r="P11" i="13"/>
  <c r="Q11" i="13"/>
  <c r="R11" i="13"/>
  <c r="S11" i="13"/>
  <c r="M12" i="13"/>
  <c r="O12" i="13"/>
  <c r="P12" i="13"/>
  <c r="Q12" i="13"/>
  <c r="R12" i="13"/>
  <c r="S12" i="13"/>
  <c r="Q23" i="13"/>
  <c r="Q25" i="13"/>
  <c r="Q26" i="13"/>
  <c r="Q27" i="13"/>
  <c r="Q28" i="13"/>
  <c r="Q29" i="13"/>
  <c r="Q30" i="13"/>
  <c r="Q31" i="13"/>
  <c r="Q32" i="13"/>
  <c r="Q33" i="13"/>
  <c r="Q34" i="13"/>
  <c r="Q35" i="13"/>
  <c r="Q36" i="13"/>
  <c r="Q37" i="13"/>
  <c r="Q38" i="13"/>
  <c r="Q39" i="13"/>
  <c r="Q40" i="13"/>
  <c r="Q41" i="13"/>
  <c r="Q42" i="13"/>
  <c r="Q43" i="13"/>
  <c r="Q44" i="13"/>
  <c r="Q45" i="13"/>
  <c r="Q46" i="13"/>
  <c r="Q47" i="13"/>
  <c r="Q48" i="13"/>
  <c r="Q49" i="13"/>
  <c r="Q50" i="13"/>
  <c r="Q51" i="13"/>
  <c r="Q52" i="13"/>
  <c r="Q53" i="13"/>
  <c r="Q54" i="13"/>
  <c r="Q55" i="13"/>
  <c r="Q56" i="13"/>
  <c r="Q57" i="13"/>
  <c r="Q58" i="13"/>
  <c r="Q59" i="13"/>
  <c r="Q60" i="13"/>
  <c r="Q61" i="13"/>
  <c r="Q62" i="13"/>
  <c r="Q63" i="13"/>
  <c r="Q64" i="13"/>
  <c r="Q65" i="13"/>
  <c r="Q73" i="13"/>
  <c r="Q74" i="13"/>
  <c r="Q72" i="13"/>
  <c r="Q66" i="13"/>
  <c r="Q67" i="13"/>
  <c r="Q68" i="13"/>
  <c r="Q75" i="13"/>
  <c r="Q76" i="13"/>
  <c r="Q69" i="13"/>
  <c r="Q70" i="13"/>
  <c r="Q71" i="13"/>
  <c r="Q10" i="13"/>
  <c r="P23" i="13"/>
  <c r="P25" i="13"/>
  <c r="P26" i="13"/>
  <c r="P27" i="13"/>
  <c r="P28" i="13"/>
  <c r="P29" i="13"/>
  <c r="P30" i="13"/>
  <c r="P31" i="13"/>
  <c r="P32" i="13"/>
  <c r="P33" i="13"/>
  <c r="P34" i="13"/>
  <c r="P35" i="13"/>
  <c r="P36" i="13"/>
  <c r="P37" i="13"/>
  <c r="P38" i="13"/>
  <c r="P39" i="13"/>
  <c r="P40" i="13"/>
  <c r="P41" i="13"/>
  <c r="P42" i="13"/>
  <c r="P43" i="13"/>
  <c r="P44" i="13"/>
  <c r="P45" i="13"/>
  <c r="P46" i="13"/>
  <c r="P47" i="13"/>
  <c r="P48" i="13"/>
  <c r="P49" i="13"/>
  <c r="P50" i="13"/>
  <c r="P51" i="13"/>
  <c r="P52" i="13"/>
  <c r="P53" i="13"/>
  <c r="P54" i="13"/>
  <c r="P55" i="13"/>
  <c r="P56" i="13"/>
  <c r="P57" i="13"/>
  <c r="P58" i="13"/>
  <c r="P59" i="13"/>
  <c r="P60" i="13"/>
  <c r="P61" i="13"/>
  <c r="P62" i="13"/>
  <c r="P63" i="13"/>
  <c r="P64" i="13"/>
  <c r="P65" i="13"/>
  <c r="P73" i="13"/>
  <c r="P74" i="13"/>
  <c r="P72" i="13"/>
  <c r="P66" i="13"/>
  <c r="P67" i="13"/>
  <c r="P68" i="13"/>
  <c r="P75" i="13"/>
  <c r="P76" i="13"/>
  <c r="P69" i="13"/>
  <c r="P70" i="13"/>
  <c r="P71" i="13"/>
  <c r="P10" i="13"/>
  <c r="O45" i="13"/>
  <c r="O46" i="13"/>
  <c r="O47" i="13"/>
  <c r="O48" i="13"/>
  <c r="O49" i="13"/>
  <c r="O50" i="13"/>
  <c r="O51" i="13"/>
  <c r="O52" i="13"/>
  <c r="O53" i="13"/>
  <c r="O54" i="13"/>
  <c r="O55" i="13"/>
  <c r="O56" i="13"/>
  <c r="O57" i="13"/>
  <c r="O58" i="13"/>
  <c r="O59" i="13"/>
  <c r="O60" i="13"/>
  <c r="O61" i="13"/>
  <c r="O62" i="13"/>
  <c r="O63" i="13"/>
  <c r="O64" i="13"/>
  <c r="O65" i="13"/>
  <c r="O73" i="13"/>
  <c r="O74" i="13"/>
  <c r="O72" i="13"/>
  <c r="O66" i="13"/>
  <c r="O67" i="13"/>
  <c r="O68" i="13"/>
  <c r="O75" i="13"/>
  <c r="O76" i="13"/>
  <c r="O69" i="13"/>
  <c r="O70" i="13"/>
  <c r="O71" i="13"/>
  <c r="O23" i="13"/>
  <c r="O25" i="13"/>
  <c r="O26" i="13"/>
  <c r="O27" i="13"/>
  <c r="O28" i="13"/>
  <c r="O29" i="13"/>
  <c r="O30" i="13"/>
  <c r="O31" i="13"/>
  <c r="O32" i="13"/>
  <c r="O33" i="13"/>
  <c r="O34" i="13"/>
  <c r="O35" i="13"/>
  <c r="O36" i="13"/>
  <c r="O37" i="13"/>
  <c r="O38" i="13"/>
  <c r="O39" i="13"/>
  <c r="O40" i="13"/>
  <c r="O41" i="13"/>
  <c r="O42" i="13"/>
  <c r="O43" i="13"/>
  <c r="O44" i="13"/>
  <c r="O10" i="13"/>
  <c r="S23" i="13"/>
  <c r="S25" i="13"/>
  <c r="S26" i="13"/>
  <c r="S27" i="13"/>
  <c r="S28" i="13"/>
  <c r="S29" i="13"/>
  <c r="S30" i="13"/>
  <c r="S31" i="13"/>
  <c r="S32" i="13"/>
  <c r="S33" i="13"/>
  <c r="S34" i="13"/>
  <c r="S35" i="13"/>
  <c r="S36" i="13"/>
  <c r="S37" i="13"/>
  <c r="S38" i="13"/>
  <c r="S39" i="13"/>
  <c r="S40" i="13"/>
  <c r="S41" i="13"/>
  <c r="S42" i="13"/>
  <c r="S43" i="13"/>
  <c r="S44" i="13"/>
  <c r="S45" i="13"/>
  <c r="S46" i="13"/>
  <c r="S47" i="13"/>
  <c r="S48" i="13"/>
  <c r="S49" i="13"/>
  <c r="S50" i="13"/>
  <c r="S51" i="13"/>
  <c r="S52" i="13"/>
  <c r="S53" i="13"/>
  <c r="S54" i="13"/>
  <c r="S55" i="13"/>
  <c r="S56" i="13"/>
  <c r="S57" i="13"/>
  <c r="S58" i="13"/>
  <c r="S59" i="13"/>
  <c r="S60" i="13"/>
  <c r="S61" i="13"/>
  <c r="S62" i="13"/>
  <c r="S63" i="13"/>
  <c r="S64" i="13"/>
  <c r="S65" i="13"/>
  <c r="S73" i="13"/>
  <c r="S74" i="13"/>
  <c r="S72" i="13"/>
  <c r="S66" i="13"/>
  <c r="S67" i="13"/>
  <c r="S68" i="13"/>
  <c r="S75" i="13"/>
  <c r="S76" i="13"/>
  <c r="S69" i="13"/>
  <c r="S70" i="13"/>
  <c r="S71" i="13"/>
  <c r="S10" i="13"/>
  <c r="R23" i="13"/>
  <c r="R25" i="13"/>
  <c r="R26" i="13"/>
  <c r="R27" i="13"/>
  <c r="R28" i="13"/>
  <c r="R29" i="13"/>
  <c r="R30" i="13"/>
  <c r="R31" i="13"/>
  <c r="R32" i="13"/>
  <c r="R33" i="13"/>
  <c r="R34" i="13"/>
  <c r="R35" i="13"/>
  <c r="R36" i="13"/>
  <c r="R37" i="13"/>
  <c r="R38" i="13"/>
  <c r="R39" i="13"/>
  <c r="R40" i="13"/>
  <c r="R41" i="13"/>
  <c r="R42" i="13"/>
  <c r="R43" i="13"/>
  <c r="R44" i="13"/>
  <c r="R45" i="13"/>
  <c r="R46" i="13"/>
  <c r="R47" i="13"/>
  <c r="R48" i="13"/>
  <c r="R49" i="13"/>
  <c r="R50" i="13"/>
  <c r="R51" i="13"/>
  <c r="R52" i="13"/>
  <c r="R53" i="13"/>
  <c r="R54" i="13"/>
  <c r="R55" i="13"/>
  <c r="R56" i="13"/>
  <c r="R57" i="13"/>
  <c r="R58" i="13"/>
  <c r="R59" i="13"/>
  <c r="R60" i="13"/>
  <c r="R61" i="13"/>
  <c r="R62" i="13"/>
  <c r="R63" i="13"/>
  <c r="R64" i="13"/>
  <c r="R65" i="13"/>
  <c r="R73" i="13"/>
  <c r="R74" i="13"/>
  <c r="R72" i="13"/>
  <c r="R66" i="13"/>
  <c r="R67" i="13"/>
  <c r="R68" i="13"/>
  <c r="R75" i="13"/>
  <c r="R76" i="13"/>
  <c r="R69" i="13"/>
  <c r="R70" i="13"/>
  <c r="R71" i="13"/>
  <c r="R10" i="13"/>
  <c r="M23" i="13" l="1"/>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52" i="13"/>
  <c r="M53" i="13"/>
  <c r="M54" i="13"/>
  <c r="M55" i="13"/>
  <c r="M56" i="13"/>
  <c r="M57" i="13"/>
  <c r="M58" i="13"/>
  <c r="M59" i="13"/>
  <c r="M60" i="13"/>
  <c r="M61" i="13"/>
  <c r="M62" i="13"/>
  <c r="M63" i="13"/>
  <c r="M64" i="13"/>
  <c r="M65" i="13"/>
  <c r="M73" i="13"/>
  <c r="M74" i="13"/>
  <c r="M72" i="13"/>
  <c r="M66" i="13"/>
  <c r="M67" i="13"/>
  <c r="M68" i="13"/>
  <c r="M75" i="13"/>
  <c r="M76" i="13"/>
  <c r="M69" i="13"/>
  <c r="M70" i="13"/>
  <c r="M71" i="13"/>
  <c r="M10"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tc={A24A2D70-ED4E-44AB-B5CC-4CE7AFC2F48A}</author>
    <author>tc={4AA4CE10-73FE-4646-8C7E-C1F0E2BF5E63}</author>
    <author>tc={B5E08E26-35FA-412F-821B-340A9235FFC8}</author>
  </authors>
  <commentList>
    <comment ref="A5" authorId="0" shapeId="0" xr:uid="{A24A2D70-ED4E-44AB-B5CC-4CE7AFC2F48A}">
      <text>
        <t>[Threaded comment]
Your version of Excel allows you to read this threaded comment; however, any edits to it will get removed if the file is opened in a newer version of Excel. Learn more: https://go.microsoft.com/fwlink/?linkid=870924
Comment:
    No "&amp;" in Business Definition</t>
      </text>
    </comment>
    <comment ref="D9" authorId="1" shapeId="0" xr:uid="{4AA4CE10-73FE-4646-8C7E-C1F0E2BF5E63}">
      <text>
        <t>[Threaded comment]
Your version of Excel allows you to read this threaded comment; however, any edits to it will get removed if the file is opened in a newer version of Excel. Learn more: https://go.microsoft.com/fwlink/?linkid=870924
Comment:
    No spaces or any other format and No BYTE or CHAR please</t>
      </text>
    </comment>
    <comment ref="H9" authorId="2" shapeId="0" xr:uid="{B5E08E26-35FA-412F-821B-340A9235FFC8}">
      <text>
        <t>[Threaded comment]
Your version of Excel allows you to read this threaded comment; however, any edits to it will get removed if the file is opened in a newer version of Excel. Learn more: https://go.microsoft.com/fwlink/?linkid=870924
Comment:
    No "&amp;" in Business Definition</t>
      </text>
    </comment>
  </commentList>
</comments>
</file>

<file path=xl/sharedStrings.xml><?xml version="1.0" encoding="utf-8"?>
<sst xmlns="http://schemas.openxmlformats.org/spreadsheetml/2006/main" count="2359" uniqueCount="644">
  <si>
    <t>1. View Name</t>
  </si>
  <si>
    <t>Open_Tax_Lot_Non_Brokerage_Fact_V</t>
  </si>
  <si>
    <t xml:space="preserve">Please read review comments on Table Functional Description, Data Type and Business Definition
</t>
  </si>
  <si>
    <r>
      <t>2. Table Name (</t>
    </r>
    <r>
      <rPr>
        <b/>
        <u/>
        <sz val="11"/>
        <rFont val="Calibri"/>
        <family val="2"/>
        <scheme val="minor"/>
      </rPr>
      <t>From DA Team</t>
    </r>
    <r>
      <rPr>
        <b/>
        <sz val="11"/>
        <rFont val="Calibri"/>
        <family val="2"/>
        <scheme val="minor"/>
      </rPr>
      <t>) -</t>
    </r>
  </si>
  <si>
    <t>OPN_TAX_LOTS_NON_BKR_FACT</t>
  </si>
  <si>
    <t>3. View Schema Name - SSDS_DAL_OWNER</t>
  </si>
  <si>
    <t>4. Table Schema Name - TAXLOT_OWNER</t>
  </si>
  <si>
    <t xml:space="preserve">5. Table Functional Description /Comment in Oracle/Redshift - </t>
  </si>
  <si>
    <t>This table contains records for taxlots non brokerage which are Open and whose impact is yet to considered as realized gain/loss.</t>
  </si>
  <si>
    <t>BA Responsbility</t>
  </si>
  <si>
    <t>DA Responsibility</t>
  </si>
  <si>
    <t>6. Filter Criteria - Please see ETL Notes sheet.</t>
  </si>
  <si>
    <t>7. Grain - Please see Grain Columns sheet.</t>
  </si>
  <si>
    <t>Lighthouse Target</t>
  </si>
  <si>
    <t xml:space="preserve">Source </t>
  </si>
  <si>
    <t xml:space="preserve">Transformation </t>
  </si>
  <si>
    <r>
      <t xml:space="preserve">Logical Name of Attribute 
(Name of column in View </t>
    </r>
    <r>
      <rPr>
        <b/>
        <u/>
        <sz val="11"/>
        <rFont val="Calibri"/>
        <family val="2"/>
        <scheme val="minor"/>
      </rPr>
      <t>without underscores</t>
    </r>
    <r>
      <rPr>
        <b/>
        <sz val="11"/>
        <rFont val="Calibri"/>
        <family val="2"/>
        <scheme val="minor"/>
      </rPr>
      <t>)</t>
    </r>
  </si>
  <si>
    <t>DA Comments to BA</t>
  </si>
  <si>
    <r>
      <t xml:space="preserve">Physical Name of Attribute (Name of column in Table)
</t>
    </r>
    <r>
      <rPr>
        <b/>
        <u/>
        <sz val="11"/>
        <rFont val="Calibri"/>
        <family val="2"/>
        <scheme val="minor"/>
      </rPr>
      <t>Supplied by DA Team</t>
    </r>
  </si>
  <si>
    <r>
      <t xml:space="preserve">Data type in Oracle
</t>
    </r>
    <r>
      <rPr>
        <b/>
        <u/>
        <sz val="11"/>
        <rFont val="Calibri"/>
        <family val="2"/>
        <scheme val="minor"/>
      </rPr>
      <t>VARCHAR2(n), DATE, NUMBER(m,n), TIMETSTAMP(6)</t>
    </r>
  </si>
  <si>
    <r>
      <t xml:space="preserve">Nullable in Table and in Oracle View
</t>
    </r>
    <r>
      <rPr>
        <b/>
        <u/>
        <sz val="11"/>
        <rFont val="Calibri"/>
        <family val="2"/>
        <scheme val="minor"/>
      </rPr>
      <t>NULL, NOT NULL</t>
    </r>
  </si>
  <si>
    <t>Data type in Redshift</t>
  </si>
  <si>
    <t>Nullable in View in Redshift</t>
  </si>
  <si>
    <t>Business Definition (To go into comments and into Meta Data Hub)</t>
  </si>
  <si>
    <t>Sample data values</t>
  </si>
  <si>
    <t>Action on Attribute
Add,Update,Remove, Blank</t>
  </si>
  <si>
    <t>Comments on when it was added / updated. List the PBI or Bug number.</t>
  </si>
  <si>
    <t>Include  in View.
Populated with N only when not to be shown in the view.</t>
  </si>
  <si>
    <r>
      <t xml:space="preserve">Is on Data Model
</t>
    </r>
    <r>
      <rPr>
        <b/>
        <u/>
        <sz val="11"/>
        <rFont val="Calibri"/>
        <family val="2"/>
        <scheme val="minor"/>
      </rPr>
      <t>DA responsibility</t>
    </r>
  </si>
  <si>
    <r>
      <t xml:space="preserve">Model Data Type match TRUE/FALSE
</t>
    </r>
    <r>
      <rPr>
        <b/>
        <u/>
        <sz val="11"/>
        <rFont val="Calibri"/>
        <family val="2"/>
        <scheme val="minor"/>
      </rPr>
      <t>DA Responsibilty</t>
    </r>
  </si>
  <si>
    <t>model defs. Match</t>
  </si>
  <si>
    <t>Is On table</t>
  </si>
  <si>
    <t>On View</t>
  </si>
  <si>
    <t xml:space="preserve">Source Schema </t>
  </si>
  <si>
    <t xml:space="preserve"> Source Table</t>
  </si>
  <si>
    <t xml:space="preserve">Source Attribute Name </t>
  </si>
  <si>
    <t xml:space="preserve"> Data Type</t>
  </si>
  <si>
    <t>Nullable?</t>
  </si>
  <si>
    <t xml:space="preserve">Transformation /Business Rules /Join Conditions </t>
  </si>
  <si>
    <t xml:space="preserve"> Notes / Comments</t>
  </si>
  <si>
    <t>Open Tax Lots Non Brokerage Fact Id</t>
  </si>
  <si>
    <t>NUMBER(38,0)</t>
  </si>
  <si>
    <t>No</t>
  </si>
  <si>
    <t>NUMERIC(38,0)</t>
  </si>
  <si>
    <t>This is Surrogate Key for this table. Used as Primary Key as wel</t>
  </si>
  <si>
    <t>Source System Code</t>
  </si>
  <si>
    <t>SRC_STM_CD</t>
  </si>
  <si>
    <t>VARCHAR2(40)</t>
  </si>
  <si>
    <t>Yes</t>
  </si>
  <si>
    <t>Character Varying(40)</t>
  </si>
  <si>
    <t>TAX_LOT_OPN_MSTR.SRC_STM_ID</t>
  </si>
  <si>
    <t>COMMON_OWNER</t>
  </si>
  <si>
    <t>SRC_STM_DIM</t>
  </si>
  <si>
    <t>Use SRC_STM_ID to get code</t>
  </si>
  <si>
    <t>Arrangement Id</t>
  </si>
  <si>
    <t>AR_ID</t>
  </si>
  <si>
    <t>Arrangement Id for the account Source:TAX_LOT_OPN_MSTR.AR_ID</t>
  </si>
  <si>
    <t>TAXLOT_STG_OWNER</t>
  </si>
  <si>
    <t>OPN_TAX_LOTS_NONBKR_TGT</t>
  </si>
  <si>
    <t>NUMBER</t>
  </si>
  <si>
    <t>CIRD Product Id</t>
  </si>
  <si>
    <t>CIRD_PD_ID</t>
  </si>
  <si>
    <t>RJT Source: TAX_LOT_OPN_MSTR.CCAL_PD_ID
Lookup on IMT_PD_DIM using CCAL_PD_ID PD_ID from CIRD - can be used as join key if date context is supplied at query time</t>
  </si>
  <si>
    <t>CCAL_REPL_OWNER</t>
  </si>
  <si>
    <t>CCAL_CIRD_PD_MAP</t>
  </si>
  <si>
    <t>Look up on CCAL_CIRD_PD_MAP where CCAL_PD_ID = TAX_LOT_OPN_MSTR.CCAL_PD_ID, pick- CIRD_PD_ID AND ACTV_F = 'Y'</t>
  </si>
  <si>
    <t>CCAL Product Id</t>
  </si>
  <si>
    <t>CCAL_PD_ID</t>
  </si>
  <si>
    <t>Product Id assigned by CCAL
RJT Source: TAX_LOT_OPN_MSTR.CCAL_PD_ID</t>
  </si>
  <si>
    <t>Accounting Type Code</t>
  </si>
  <si>
    <t>ACG_TP_CD</t>
  </si>
  <si>
    <t>VARCHAR2(1)</t>
  </si>
  <si>
    <t>Character Varying(1)</t>
  </si>
  <si>
    <t>RJT Source: TAX_LOT_OPN_MSTR.ACG_TP_CODE
Accounting type code
P=Principal
I=Income</t>
  </si>
  <si>
    <t>AC_TP_CODE</t>
  </si>
  <si>
    <t>Tax Lot External Reference Key Primary</t>
  </si>
  <si>
    <t>TAX_LOT_EXT_REFR_KEY_PRIM</t>
  </si>
  <si>
    <t>VARCHAR2(50)</t>
  </si>
  <si>
    <t>Character Varying(50)</t>
  </si>
  <si>
    <t>Taxlot sequence unique identifier assgined when a lot is generated in the source system.</t>
  </si>
  <si>
    <t>Tax Lot External Reference Key Secondary</t>
  </si>
  <si>
    <t>TAX_LOT_EXT_REFR_KEY_SCDY</t>
  </si>
  <si>
    <t>Secondary Sequence identifier of the debited tax lo assigned in the source system. Its optional not always populated</t>
  </si>
  <si>
    <t>Tax Lot External Reference Key Tertiary</t>
  </si>
  <si>
    <t>TAX_LOT_EXT_REFR_KEY_TRTY</t>
  </si>
  <si>
    <t>Sequence number identifier of transaction debited with a DLVR or Sell. Its optional not always popualted.</t>
  </si>
  <si>
    <t>Tax Lot External Reference Key Quaternary</t>
  </si>
  <si>
    <t>TAX_LOT_EXT_REFR_KEY_QTRNY</t>
  </si>
  <si>
    <t>Unique system generated identifier used to identify taxlots and create associations between taxlots.</t>
  </si>
  <si>
    <t>End Date</t>
  </si>
  <si>
    <t>END_DT</t>
  </si>
  <si>
    <t>DATE</t>
  </si>
  <si>
    <t>Timestamp without time zone</t>
  </si>
  <si>
    <t>Date on which row is no longer active.  Specify as MyDate &gt;= EFF_DT AND MyDate &lt; END_DT to select a row that is active@MyDate</t>
  </si>
  <si>
    <t>EFF_TO_DT</t>
  </si>
  <si>
    <t>Effective Date</t>
  </si>
  <si>
    <t>EFF_DT</t>
  </si>
  <si>
    <t>Specify as MyDate &gt;= EFF_DT AND MyDate &lt; END_DT to select a row that is active@MyDate</t>
  </si>
  <si>
    <t>EFF_FM_DT</t>
  </si>
  <si>
    <t>Accounting Type Name</t>
  </si>
  <si>
    <t>ACG_TP_NM</t>
  </si>
  <si>
    <t>VARCHAR2(500)</t>
  </si>
  <si>
    <t>Character Varying(500)</t>
  </si>
  <si>
    <t>TAX_LOT_OPN_MSTR.ACG_TP_CODE
Lookup on Accounting Type Dimension
Accounting type name (e.g., cash account,margin account)</t>
  </si>
  <si>
    <t>ACG_TP_DIM</t>
  </si>
  <si>
    <t>Lookup on Accounting Type Dimension
Use TAX_LOT_OPN_MSTR.ACG_TP_CODE 
to get ACG_TP_NM</t>
  </si>
  <si>
    <t>Acquired Date</t>
  </si>
  <si>
    <t>ACQ_DT</t>
  </si>
  <si>
    <t>Always the buy/opening lot opening date. When there is a sell, the buy date against which the sell happened will be populated. If there are multiple buys against a sell, the sell is broken down into multiple taxlots. Note: This is sometime referred to as opening trade date.</t>
  </si>
  <si>
    <t>Adjusted Cost</t>
  </si>
  <si>
    <t>ADJ_COST</t>
  </si>
  <si>
    <t>NUMBER(22,6)</t>
  </si>
  <si>
    <t>NUMERIC(22,6)</t>
  </si>
  <si>
    <t>For a Buy, the tax cost is shown. For a Sell, Tax Cost sold is populated.</t>
  </si>
  <si>
    <t>SBC_ASOF_ADJ_COST_AMT</t>
  </si>
  <si>
    <t>ADJ_COST,
case when (CCY_CODE ='USD' or (EXG_RATE is NULL OR EXG_RATE = 0)) THEN ADJ_COST
ELSE 
    ADJ_COST * EXG_RATE
END SBC_ADJ_COST</t>
  </si>
  <si>
    <t>Currency Code</t>
  </si>
  <si>
    <t>CCY_CD</t>
  </si>
  <si>
    <t>VARCHAR2(7)</t>
  </si>
  <si>
    <t>Character Varying(7)</t>
  </si>
  <si>
    <t>ISO certified3 alpha codes.</t>
  </si>
  <si>
    <t>STM_BASE_ISO_CCY_CODE</t>
  </si>
  <si>
    <t>Certificate Number</t>
  </si>
  <si>
    <t>CTF_NUM</t>
  </si>
  <si>
    <t>Certificate Number Provided by CBRS.</t>
  </si>
  <si>
    <t>TAX_LOT_CTF_NUM</t>
  </si>
  <si>
    <t>Certificate Number Prefix</t>
  </si>
  <si>
    <t>CTF_NUM_PFX</t>
  </si>
  <si>
    <t>Certificate Number Prefix Provided by CBRS.</t>
  </si>
  <si>
    <t>TAX_LOT_CTF_NUM_PFX</t>
  </si>
  <si>
    <t>Cost Basis Legislation Coverage Code</t>
  </si>
  <si>
    <t>COST_BSS_LEGS_CVR_CD</t>
  </si>
  <si>
    <t>Cost Basis Legislation Coverage: “covered” securities are those impacted by the cost basis legislation (which is dependent on the security type and acquisition date) and subject to the new IRS reporting requirements.</t>
  </si>
  <si>
    <t>CVRD_UNCVRD</t>
  </si>
  <si>
    <t>Disallowed Wash Sale Amount</t>
  </si>
  <si>
    <t>DISALWD_WASH_SALE_AMT</t>
  </si>
  <si>
    <t>A wash sale is sale of a security at a loss and repurchase of the same or substantially identical security shortly before or after.  The wash-sale rule states that the tax loss will be disallowed if you buy the same security, a contract or option to buy the security, or a "substantially identical" security, within 30 days before or after the date you sold the loss-generating investment</t>
  </si>
  <si>
    <t>SBC_WASH_SALE_AMT</t>
  </si>
  <si>
    <t>Exchange Rate</t>
  </si>
  <si>
    <t>EXG_RATE</t>
  </si>
  <si>
    <t>This is an exchange rate for foreign currency.</t>
  </si>
  <si>
    <t>SBC_EXG_RATE</t>
  </si>
  <si>
    <t>Fair Market Value Of Gift Or Inheritance</t>
  </si>
  <si>
    <t>FAIR_MKT_VAL_OF_GIFT_OR_INHTN</t>
  </si>
  <si>
    <t>Fair market value of the tax lot at the point of gifting or inheritance For gifted or inherited trns only.</t>
  </si>
  <si>
    <t>SBC_ASOF_FAIR_MKT_VAL_AMT</t>
  </si>
  <si>
    <t>FMV FAIR_MKT_VAL_OF_GIFT_OR_INHTN,
case when (CCY_CODE ='USD' or (EXG_RATE is NULL OR EXG_RATE = 0)) THEN FMV
ELSE 
    FMV * EXG_RATE
END SBC_FAIR_MKT_VAL</t>
  </si>
  <si>
    <t>Gift Date</t>
  </si>
  <si>
    <t>GIFT_DT</t>
  </si>
  <si>
    <t>Date of death for inheritance or Date of a gifted taxlot.</t>
  </si>
  <si>
    <t>Position Inception Date</t>
  </si>
  <si>
    <t>POS_INCPTN_DT</t>
  </si>
  <si>
    <t>Holding date of the opening tax lot.  Is available on the sell transaction as well.
Note: This should coincide with the acquisition date unless the sale is affected by an action in which the acquisition date changes but the holding date stays the same.  i.e. wash sale, gifts, etc.)</t>
  </si>
  <si>
    <t>Long Short Position Code</t>
  </si>
  <si>
    <t>LONG_SHRT_POS_CD</t>
  </si>
  <si>
    <t>A value that represents the tax lot being a long or short position.
Valid Values:
L = Long
S = Short</t>
  </si>
  <si>
    <t>POS_LONG_SHRT_CODE</t>
  </si>
  <si>
    <t>Loss Not Allowed Flag</t>
  </si>
  <si>
    <t>LOSS_NOT_ALWD_F</t>
  </si>
  <si>
    <t>The loss on a transaction that is disallowed for tax purposes because it is part of a wash sale.</t>
  </si>
  <si>
    <t>NULL</t>
  </si>
  <si>
    <t>Life To Date Market Discount</t>
  </si>
  <si>
    <t>LIFE_TO_DTD_MKT_DCN</t>
  </si>
  <si>
    <t>Life-to-Date Market Discount calculated from the
open date or the last adjustment date of the fixed income security</t>
  </si>
  <si>
    <t>Missing Cost Basis Flag</t>
  </si>
  <si>
    <t>MISS_COST_BSS_F</t>
  </si>
  <si>
    <t>Indicates that Cost basis is not available for this position</t>
  </si>
  <si>
    <t>MISS_COST_F</t>
  </si>
  <si>
    <t>CASE
                        WHEN (TAX_LOT_OPN_MSTR.MISS_COST_F = 'Y' OR TAX_LOT_OPN_MSTR.null_bss_f = 'Y')
                          THEN 'Y'
                        ELSE 'N'
                     END</t>
  </si>
  <si>
    <t>Adjusted Cost Not Accurate Flag</t>
  </si>
  <si>
    <t>ADJ_COST_NOT_ACRT_F</t>
  </si>
  <si>
    <t>Indcates that Adjusted Cost is not accurate due to missing cost on atleast one sublot
Source:NULL_F
Y = 	YES – At least one of the associated average cost records is missing average cost
N = 	NO – None of the associated average cost records are missing average cost</t>
  </si>
  <si>
    <t>NULL_BSS_F</t>
  </si>
  <si>
    <t>Open Price Factor</t>
  </si>
  <si>
    <t>OPN_PRC_FCTR</t>
  </si>
  <si>
    <t>Price_factor of opening transaction
Used for factored bonds
RJT Source: TAX_LOT_OPN_MSTR.NML_CCY_OPN_PRC_FCTR</t>
  </si>
  <si>
    <t>SBC_OPN_PRC_FCTR</t>
  </si>
  <si>
    <t>OPN_FCTR OPN_PRC_FCTR,
case when (CCY_CODE ='USD' or (EXG_RATE is NULL OR EXG_RATE = 0)) THEN OPN_FCTR
ELSE 
    OPN_FCTR * EXG_RATE
END SBC_OPN_PRC_FCTR</t>
  </si>
  <si>
    <t>Open Transaction Event Type</t>
  </si>
  <si>
    <t>OPN_TXN_EV_TP</t>
  </si>
  <si>
    <t>RJT Source: TAX_LOT_OPN_MSTR.TAX_LOT_TXN_EV_TP_ID
For open and closed lots, this field includes the 'event' of the opening transaction</t>
  </si>
  <si>
    <t>CL_VAL</t>
  </si>
  <si>
    <t>CL_VAL_NM</t>
  </si>
  <si>
    <t>Use  TAX_LOT_TXN_EV_TP_ID in CL_VAL_ID in CL_VAL table and pick CL_VAL_NM  where CL_SCM_CD= 86</t>
  </si>
  <si>
    <t>Cost Amount</t>
  </si>
  <si>
    <t>COST_AMT</t>
  </si>
  <si>
    <t>Original total purchase cost of the instrument
Buy, the net amount is shown.
Sell, cost sold for a sell is displayed.
Note: This field cannot be used currently as it is not prorated or adjusted for changes/actions/partial sells where a change in quantity is made.</t>
  </si>
  <si>
    <t>NML_ASOF_CRN_COST_AMT</t>
  </si>
  <si>
    <t>ORIG_COST COST_AMT,
case when (CCY_CODE ='USD' or (EXG_RATE is NULL OR EXG_RATE = 0)) THEN ORIG_COST
ELSE 
    ORIG_COST * EXG_RATE
END SBC_COST_AMT</t>
  </si>
  <si>
    <t>Original Event Type</t>
  </si>
  <si>
    <t>ORIG_EV_TP</t>
  </si>
  <si>
    <t>VARCHAR2(32)</t>
  </si>
  <si>
    <t>Character Varying(32)</t>
  </si>
  <si>
    <t>Opening transaction original event ID.  Used when opening transaction event ID represents a corporate action, in which case the original event ID (such as DRIP BUY, gift, or inheritance, etc. is more important)Source: ORIG_EV_ID</t>
  </si>
  <si>
    <t>its always NULL</t>
  </si>
  <si>
    <t>Original Price</t>
  </si>
  <si>
    <t>ORIG_PRC</t>
  </si>
  <si>
    <t>Per share price of the opening tax lot.big_prc of the Buy/open short. Will be populated for a sell with opening price.
Note: This field cannot be used currently as it is not prorated or adjusted for changes/actions/partial sells where a change in quantity is made.</t>
  </si>
  <si>
    <t>SBC_ORIG_PRC</t>
  </si>
  <si>
    <t>ORIG_PRC,
case when (CCY_CODE ='USD' or (EXG_RATE is NULL OR EXG_RATE = 0)) THEN ORIG_PRC
ELSE 
    ORIG_PRC * EXG_RATE
END SBC_ORIG_PRC</t>
  </si>
  <si>
    <t>Original Proceed</t>
  </si>
  <si>
    <t>ORIG_PROCD</t>
  </si>
  <si>
    <t>Net_amount of asgn sell before adding premium.
Note: This field cannot be used currently as it is not prorated or adjusted for changes/actions/partial sells where a change in quantity is made.</t>
  </si>
  <si>
    <t>SBC_ORIG_PROCD_AMT</t>
  </si>
  <si>
    <t>ORIG_PROCD,
case when (CCY_CODE ='USD' or (EXG_RATE is NULL OR EXG_RATE = 0)) THEN ORIG_PROCD
ELSE 
    ORIG_PROCD * EXG_RATE
END SBC_ORIG_PROCD</t>
  </si>
  <si>
    <t>Original Transaction Type Code</t>
  </si>
  <si>
    <t>ORIG_TXN_TP_CD</t>
  </si>
  <si>
    <t>Opening transaction original TRAN TYPE ID.  Used when opening transaction tran type represents a corporate action, in which case the original tran type (such as DRP, GFT, or INH, etc. is more important)
Additional Notes:  The purpose of this field is to preserve the TRAN_TYPE with which the position was opened.  As opposed to TRAN_TYPE, this field survives corporate actions and wash sale sub-lot allocation.  One of the important use cases of ORIGINAL_TRAN_TYPE is alongside of transfers such as ACATs, where the values of INH and GFT indicate gift or inheritance.  It should be noted that lots created due to corporate actions on inherited or gifted positions will have ORIGINAL_TRAN_TYPE of INH and GFT, and the TRAN_TYPE set to that of the corporate action.
This is a Maxit specific code that describes the category of transaction/action that created the open tax lot.
Note:
Inherited = INH
Inherited than Gifted = ITG - NEW TFS Requirement 195137
Gifted = GFT
existing values:
BUY, INH, DRP, ACT, XCH, SED, ATF, RCV, BTO, SHS, EXC, GFT, SCC, STO, CCG, ASN, SPN, RSP, MRG, SDV, RTS, DVR, BPR, WSH, ACQ, OID, MDI, NQSI, LIQ</t>
  </si>
  <si>
    <t>Premium Amount</t>
  </si>
  <si>
    <t>PREM_AMT</t>
  </si>
  <si>
    <t>The option premium amount that is added to the underlying stock when an option is assigned to the holder.</t>
  </si>
  <si>
    <t>Quantity</t>
  </si>
  <si>
    <t>QTY</t>
  </si>
  <si>
    <t xml:space="preserve">Contains the total shares / PAR value for the open or closed tax lot position.
Lot quantity per Maxit
When long_short_position = S, always set to (absolute value * -1)
When long_short_position = L, always set to absolute value
RJT Source: TAX_LOT_OPN_ASOF.TAX_LOT_ASOF_QTY
</t>
  </si>
  <si>
    <t>TAX_LOT_ASOF_QTY</t>
  </si>
  <si>
    <t>Source Record Type Code</t>
  </si>
  <si>
    <t>SRC_RCRD_TP_CD</t>
  </si>
  <si>
    <t xml:space="preserve">RJT Source: TAX_LOT_OPN_MSTR	SRC_RCRD_TP_ID 
Y= Tax Lot Record Type specific to Raymond James Trust </t>
  </si>
  <si>
    <t>CL_VAL_CD</t>
  </si>
  <si>
    <t>Use  SRC_RCRD_TP_ID in CL_VAL and use- CL_VAL_CD</t>
  </si>
  <si>
    <t>Reinvestment Lot Flag</t>
  </si>
  <si>
    <t>RVST_LOT_F</t>
  </si>
  <si>
    <t>Re-investment indicator linked to Dividend Reinvestment Plan (DRIP) logic. Indicates whether the lot is eligible to be included in the position’s average cost.</t>
  </si>
  <si>
    <t>RVST_F</t>
  </si>
  <si>
    <t>Settlement Date</t>
  </si>
  <si>
    <t>SD</t>
  </si>
  <si>
    <t>Settlement date of Open/close transaction supplied by RJ.</t>
  </si>
  <si>
    <t>Trade Number</t>
  </si>
  <si>
    <t>TRD_NUM</t>
  </si>
  <si>
    <t>VARCHAR2(80)</t>
  </si>
  <si>
    <t>Character Varying(80)</t>
  </si>
  <si>
    <t>Client specific transaction no.</t>
  </si>
  <si>
    <t>Transaction Initiate Date</t>
  </si>
  <si>
    <t>TXN_INTT_DT</t>
  </si>
  <si>
    <t>This is the date transfer is made.</t>
  </si>
  <si>
    <t>TXN_INIT_DT</t>
  </si>
  <si>
    <t>Transaction Type Code</t>
  </si>
  <si>
    <t>TXN_TP_CD</t>
  </si>
  <si>
    <t>Code assigned to each transaction type. Transaction types offer a broad classification of the transaction Base on defined industry/line-of-business definitions such as a 'Buy', 'Deposit', 'Merger', etc.</t>
  </si>
  <si>
    <t>Unit Cost</t>
  </si>
  <si>
    <t>UC</t>
  </si>
  <si>
    <t>Opening price per share</t>
  </si>
  <si>
    <t>SBC_OPN_PER_UC_AMT</t>
  </si>
  <si>
    <t>UC,
case when (CCY_CODE ='USD' or (EXG_RATE is NULL OR EXG_RATE = 0)) THEN UC
ELSE 
    UC * EXG_RATE
END SBC_UC</t>
  </si>
  <si>
    <t>System Base Currency Unit Cost</t>
  </si>
  <si>
    <t>SBC_UC</t>
  </si>
  <si>
    <t>Unit cost of a security denominated based on currency used in sysytem.</t>
  </si>
  <si>
    <t>Wash Sale Flag</t>
  </si>
  <si>
    <t>WASH_SALE_F</t>
  </si>
  <si>
    <t>Flag designates when a Wash Sale, a transaction where an investor sells a losing security to claim a capital loss, only to repurchase it again for a bargain.</t>
  </si>
  <si>
    <t>Zero Cost Basis Flag</t>
  </si>
  <si>
    <t>ZERO_COST_BSS_F</t>
  </si>
  <si>
    <t>VARCHAR2(2)</t>
  </si>
  <si>
    <t>Character Varying(2)</t>
  </si>
  <si>
    <t>This indicates whether a tax lot without cost basis is just missing or it is a true zero basis.</t>
  </si>
  <si>
    <t>ZERO_BSS_IND_F</t>
  </si>
  <si>
    <t>Wash Sale Type</t>
  </si>
  <si>
    <t>WASH_SALE_TP</t>
  </si>
  <si>
    <t>The Boolean value (Y/N) that indicates whether or not a Tax Lot Closed open portion of transaction is a wash sale sublot – ‘Y’ Otherwise ‘N’</t>
  </si>
  <si>
    <t>(CASE   
WHEN TAX_LOT_OPN_MSTR.WASH_SALE_IND ='Y' 
AND TAX_LOT_OPN_MSTR.DISALWD_WASHSALE_AMT = 0    THEN 'CBW' 
WHEN TAX_LOT_OPN_MSTR.WASH_SALE_IND ='Y' 
AND TAX_LOT_OPN_MSTR.DISALWD_WASHSALE_AMT &gt; 0    THEN 'BOTHW' 
WHEN TAX_LOT_OPN_MSTR.WASH_SALE_IND &lt;&gt; 'Y' 
AND TAX_LOT_OPN_MSTR.DISALWD_WASHSALE_AMT &gt; 0    THEN 'GLW' 
END) AS WASH_SALE_TP</t>
  </si>
  <si>
    <t>System Base Currency Disallowed Wash Sale Amount</t>
  </si>
  <si>
    <t>SBC_DISALWD_WASH_SALE_AMT</t>
  </si>
  <si>
    <t>This is the amount of the losses that are disallowed by wash sale rules. This value will be on the sells with losses that turn into wash sells.</t>
  </si>
  <si>
    <t>System Base Currency Adjusted Cost</t>
  </si>
  <si>
    <t>SBC_ADJ_COST</t>
  </si>
  <si>
    <t>Adjusted cost for the Lot</t>
  </si>
  <si>
    <t>System Base Currency Fair Market Value</t>
  </si>
  <si>
    <t>SBC_FAIR_MKT_VAL</t>
  </si>
  <si>
    <t>fair market value of the tax lot at the point of gifting or inheritance per system base currency</t>
  </si>
  <si>
    <t>System Base Currency Open Price Factor</t>
  </si>
  <si>
    <t>Price_factor of opening transaction
Used for factored bonds</t>
  </si>
  <si>
    <t>System Base Currency Cost Amount</t>
  </si>
  <si>
    <t>SBC_COST_AMT</t>
  </si>
  <si>
    <t>Original total purchase cost of the instrument Buy, the net amount is shown.
Sell, cost sold for a sell is displayed.
Note: This field cannot be used currently as it is not prorated or adjusted for changes/actions/partial sells where a change in quantity is made.</t>
  </si>
  <si>
    <t>SBC_OPN_COST_AMT</t>
  </si>
  <si>
    <t>System Base Currency Original Price</t>
  </si>
  <si>
    <t>NUMBER(30,8)</t>
  </si>
  <si>
    <t>NUMERIC(30,8)</t>
  </si>
  <si>
    <t>Per share price of the opening tax lot. big_prc of the Buy/open short. Will be populated for a sell with opening price.
Note: This field cannot be used currently as it is not prorated or adjusted for changes/actions/partial sells where a change in quantity is made.</t>
  </si>
  <si>
    <t>System Base Currency Original Proceed</t>
  </si>
  <si>
    <t>SBC_ORIG_PROCD</t>
  </si>
  <si>
    <t>Source System Id</t>
  </si>
  <si>
    <t>SRC_STM_ID</t>
  </si>
  <si>
    <t>Identifer of the Source System</t>
  </si>
  <si>
    <t>Source System Name</t>
  </si>
  <si>
    <t>SRC_STM_NM</t>
  </si>
  <si>
    <t>VARCHAR2(60)</t>
  </si>
  <si>
    <t>Character Varying(60)</t>
  </si>
  <si>
    <t xml:space="preserve">Name of the source system </t>
  </si>
  <si>
    <t>Use SRC_STM_ID to get name</t>
  </si>
  <si>
    <t>Accounting Type Id</t>
  </si>
  <si>
    <t>ACG_TP_ID</t>
  </si>
  <si>
    <t xml:space="preserve">Numeric identifier of the accounting type ID (e.g., 1006, 1001) Lookup using Accounting type Code( RJT TAX_LOT_OPN_MSTR.ACG_TP_CODE) </t>
  </si>
  <si>
    <t>Use TAX_LOT_OPN_MSTR.ACG_TP_CODE 
to get ACG_TP_ID</t>
  </si>
  <si>
    <t>Tax Lot Type</t>
  </si>
  <si>
    <t>TAX_LOT_TP</t>
  </si>
  <si>
    <t>logic:
1.	For inherited tax lots, it is set to Inherited
1.1.	For Brokerage accounts, this is when the ACAT Type is null and Original Transaction Type is INH from the tax lot detail open table or ACAT Type is INH from the tax lot detail open table
1.2.	For RJ Trust accounts, this is when the Tax Lot Transaction Type Identifier is 2846 from the tax lot open master table
2.	For gifted or gifted then inherited tax lots, it is set to Gift
2.1	For Brokerage accounts, this is when the ACAT Type is null and Original Transaction Type is GFT from the tax lot detail open table or ACAT Type is GFT or ITG from the tax lot detail open table
2.2	For RJ Trust accounts, this is when the Tax Lot Transaction Type Identifier is 2851 from the tax lot open master table
3.	For reinvested tax lots, it is set to Reinvestment
3.1.	For Brokerage accounts, this is when the ACAT Type is not GFT, INH or ITG and the Reinvest Flag is Y from the tax lot detail open table
3.2.	For RJ Trust accounts, this is when the Tax Lot Transaction Type Identifier is not 2846 or 2851 and the Reinvest Flag is Y from the tax lot open master table
4.	For all other tax lots
4.1	For Brokerage accounts, it is the High Level Definition from the record type table where
4.1.1.	Open Close Indicator from record type table is O
4.1.2.	Realized Closing Flag is N
4.1.3.	Opening Transaction Event Id from the tax lot detail open table matches the Transaction Event Id from record type table
4.1.4.	Otherwise, if match is not found, then set to null
4.2	For RJ Trust accounts, it is the Classification Value Name from the classification value table where
4.2.1	Tax Lot Transaction Type Identifier from the tax lot open master table matches the Classification Value Identifier from the classification table
4.2.2Classification Source Identifier from the classification table is 84
4.3	Otherwise, if match is not found, then set to null</t>
  </si>
  <si>
    <t>Use TAX_LOT_TXN_TP_ID as CL_Val_id and get CL_VAL_NM where CL_SCM_ID = 84</t>
  </si>
  <si>
    <t>Cost Basis Legislation Coverage Flag</t>
  </si>
  <si>
    <t>COST_BSS_LEGS_CVR_F</t>
  </si>
  <si>
    <t xml:space="preserve">For RJ Trust accounts if the Covered Flag from the tax lot open master table is C, then set to Y Otherwise, set to N </t>
  </si>
  <si>
    <t>(case when TAXLOT_DTL_OPN.CVRD_UNCVRD = 'C' then 'Y'
else 'N'
end) AS COST_BSS_LEGS_CVR_F</t>
  </si>
  <si>
    <t>Missing Invest Cost Flag</t>
  </si>
  <si>
    <t>MISS_IVS_COST_F</t>
  </si>
  <si>
    <t>For RJ Trust accounts
  If the reinvest flag from tax lot open master is not equal to Y
  If the Missing Cost Flag from the tax lot open master table is Y, then set to Y
  If the Null Basis Flag from the tax lot open master table is Y, then set to Y
 Otherwise, set to N</t>
  </si>
  <si>
    <t>CASE
                          WHEN (TAX_LOT_OPN_MSTR.RVST_F&lt;&gt;'Y' AND (TAX_LOT_OPN_MSTR.MISS_COST_F = 'Y' OR TAX_LOT_OPN_MSTR.null_bss_f = 'Y'))
                            THEN 'Y'
                            ELSE 'N'
                    END</t>
  </si>
  <si>
    <t>Session Number</t>
  </si>
  <si>
    <t>SESN_NUM</t>
  </si>
  <si>
    <t>ODI Session Number for last update</t>
  </si>
  <si>
    <t>Create Datetime</t>
  </si>
  <si>
    <t>CRT_DTM</t>
  </si>
  <si>
    <t>TIMESTAMP(6)</t>
  </si>
  <si>
    <t>The exact date when a Open Tax Lot Fact was first created.</t>
  </si>
  <si>
    <t>Create User Name</t>
  </si>
  <si>
    <t>CRT_USR_NM</t>
  </si>
  <si>
    <t>VARCHAR2(256)</t>
  </si>
  <si>
    <t>Character Varying(256)</t>
  </si>
  <si>
    <t>The name that represents the user who created an occurrence of a/an Position Open Tax Lots.</t>
  </si>
  <si>
    <t>Last Update Datetime</t>
  </si>
  <si>
    <t>LAST_UDT_DTM</t>
  </si>
  <si>
    <t>The time that represents the user or application who inserted, updated, or deleted each occurrence of Position Open Tax Lots .</t>
  </si>
  <si>
    <t>Last Update User Name</t>
  </si>
  <si>
    <t>LAST_UDT_USR_NM</t>
  </si>
  <si>
    <t>The name that represents the user or application who inserted, updated, or deleted each occurrence of Position Open Tax Lots .</t>
  </si>
  <si>
    <t>COLUMN_NAME</t>
  </si>
  <si>
    <t xml:space="preserve"> DATA_TYPE</t>
  </si>
  <si>
    <t xml:space="preserve"> NULLABLE</t>
  </si>
  <si>
    <t xml:space="preserve"> DATA_DEFAULT</t>
  </si>
  <si>
    <t xml:space="preserve"> COLUMN_ID</t>
  </si>
  <si>
    <t xml:space="preserve"> COMMENTS</t>
  </si>
  <si>
    <t xml:space="preserve"> INSERTABLE</t>
  </si>
  <si>
    <t xml:space="preserve"> UPDATABLE</t>
  </si>
  <si>
    <t xml:space="preserve"> DELETABLE</t>
  </si>
  <si>
    <t>ACAT_TYPE</t>
  </si>
  <si>
    <t>YES</t>
  </si>
  <si>
    <t>ACAT_TYPE_CODE</t>
  </si>
  <si>
    <t>ACCOUNTING_TYPE_CODE</t>
  </si>
  <si>
    <t>ACCOUNTING_TYPE_DIMENSION_ID</t>
  </si>
  <si>
    <t>NUMBER(38)</t>
  </si>
  <si>
    <t>ACCOUNTING_TYPE_ID</t>
  </si>
  <si>
    <t>ACCOUNTING_TYPE_NAME</t>
  </si>
  <si>
    <t>ACQUIRED_DATE</t>
  </si>
  <si>
    <t>ACQUIRED_DATE_DIMENSION_ID</t>
  </si>
  <si>
    <t>ADJUSTED_COST</t>
  </si>
  <si>
    <t>ADJUSTED_COST_NOT_ACCURATE_FLAG</t>
  </si>
  <si>
    <t>ARRANGEMENT_ID</t>
  </si>
  <si>
    <t>BUY_TRADE_NUMBER</t>
  </si>
  <si>
    <t>CCAL_PRODUCT_ID</t>
  </si>
  <si>
    <t>CERTIFICATE_NUMBER</t>
  </si>
  <si>
    <t>CERTIFICATE_NUMBER_PREFIX</t>
  </si>
  <si>
    <t>CIRD_PRODUCT_ID</t>
  </si>
  <si>
    <t>COST_AMOUNT</t>
  </si>
  <si>
    <t>COST_BASIS_LEGISLATION_COVERAGE_CODE</t>
  </si>
  <si>
    <t>COST_BASIS_LEGISLATION_COVERAGE_FLAG</t>
  </si>
  <si>
    <t>COST_BASIS_SHAREHOLDER_PROVIDED_CODE</t>
  </si>
  <si>
    <t>CREATE_DATETIME</t>
  </si>
  <si>
    <t>CREATE_USER_NAME</t>
  </si>
  <si>
    <t>CURRENCY_CODE</t>
  </si>
  <si>
    <t>DISALLOWED_WASH_SALE_AMOUNT</t>
  </si>
  <si>
    <t>DUAL_BASIS_FLAG</t>
  </si>
  <si>
    <t>EFFECTIVE_DATE</t>
  </si>
  <si>
    <t>EFFECTIVE_DATE_DIMENSION_ID</t>
  </si>
  <si>
    <t>END_DATE</t>
  </si>
  <si>
    <t>END_DATE_DIMENSION_ID</t>
  </si>
  <si>
    <t>EXCHANGE_RATE</t>
  </si>
  <si>
    <t>FAIR_MARKET_VALUE_OF_GIFT_OR_INHERITANCE</t>
  </si>
  <si>
    <t>GIFT_DATE</t>
  </si>
  <si>
    <t>GIFT_DATE_DIMENSION_ID</t>
  </si>
  <si>
    <t>LAST_UPDATE_DATETIME</t>
  </si>
  <si>
    <t>LAST_UPDATE_USER_NAME</t>
  </si>
  <si>
    <t>LIFE_TO_DATE_MARKET_DISCOUNT</t>
  </si>
  <si>
    <t>LONG_SHORT_POSITION_CODE</t>
  </si>
  <si>
    <t>LOSS_NOT_ALLOWED_FLAG</t>
  </si>
  <si>
    <t>MISSING_COST_BASIS_FLAG</t>
  </si>
  <si>
    <t>MISSING_INVEST_COST_FLAG</t>
  </si>
  <si>
    <t>OPEN_PRICE_FACTOR</t>
  </si>
  <si>
    <t>OPEN_TAX_LOTS_FACT_ID</t>
  </si>
  <si>
    <t>OPEN_TRANSACTION_EVENT_TYPE</t>
  </si>
  <si>
    <t>ORIGINAL_EVENT_TYPE</t>
  </si>
  <si>
    <t>ORIGINAL_PRICE</t>
  </si>
  <si>
    <t>ORIGINAL_PROCEED</t>
  </si>
  <si>
    <t>ORIGINAL_TRANSACTION_TYPE_CODE</t>
  </si>
  <si>
    <t>POSITION_INCEPTION_DATE</t>
  </si>
  <si>
    <t>POSITION_INCEPTION_DATE_DIMENSION_ID</t>
  </si>
  <si>
    <t>PREMIUM_AMOUNT</t>
  </si>
  <si>
    <t>QUANTITY</t>
  </si>
  <si>
    <t>REINVESTMENT_LOT_FLAG</t>
  </si>
  <si>
    <t>SETTLEMENT_DATE</t>
  </si>
  <si>
    <t>SETTLEMENT_DATE_DIMENSION_ID</t>
  </si>
  <si>
    <t>SOURCE_EFFECTIVE_DATE</t>
  </si>
  <si>
    <t>SOURCE_RECORD_TYPE_CODE</t>
  </si>
  <si>
    <t>SOURCE_SYSTEM_CODE</t>
  </si>
  <si>
    <t>SOURCE_SYSTEM_DIMENSION_ID</t>
  </si>
  <si>
    <t>SOURCE_SYSTEM_ID</t>
  </si>
  <si>
    <t>SOURCE_SYSTEM_NAME</t>
  </si>
  <si>
    <t>SYSTEM_BASE_CURRENCY_ADJUSTED_COST</t>
  </si>
  <si>
    <t>SYSTEM_BASE_CURRENCY_COST_AMOUNT</t>
  </si>
  <si>
    <t>SYSTEM_BASE_CURRENCY_DISALLOWED_WASH_SALE_AMOUNT</t>
  </si>
  <si>
    <t>SYSTEM_BASE_CURRENCY_FAIR_MARKET_VALUE</t>
  </si>
  <si>
    <t>SYSTEM_BASE_CURRENCY_OPEN_PRICE_FACTOR</t>
  </si>
  <si>
    <t>SYSTEM_BASE_CURRENCY_ORIGINAL_PRICE</t>
  </si>
  <si>
    <t>SYSTEM_BASE_CURRENCY_ORIGINAL_PROCEED</t>
  </si>
  <si>
    <t>SYSTEM_BASE_CURRENCY_UNIT_COST</t>
  </si>
  <si>
    <t>TAX_LOT_EXTERNAL_REFERENCE_KEY_PRIMARY</t>
  </si>
  <si>
    <t>TAX_LOT_EXTERNAL_REFERENCE_KEY_QUATERNARY</t>
  </si>
  <si>
    <t>TAX_LOT_EXTERNAL_REFERENCE_KEY_SECONDARY</t>
  </si>
  <si>
    <t>TAX_LOT_EXTERNAL_REFERENCE_KEY_TERTIARY</t>
  </si>
  <si>
    <t>TAX_LOT_TYPE</t>
  </si>
  <si>
    <t>TRADE_NUMBER</t>
  </si>
  <si>
    <t>TRANSACTION_INITIATE_DATE</t>
  </si>
  <si>
    <t>TRANSACTION_INITIATE_DATE_DIMENSION_ID</t>
  </si>
  <si>
    <t>TRANSACTION_TYPE_CODE</t>
  </si>
  <si>
    <t>UNIT_COST</t>
  </si>
  <si>
    <t>WASH_SALE_FLAG</t>
  </si>
  <si>
    <t>WASH_SALE_TYPE</t>
  </si>
  <si>
    <t>ZERO_COST_BASIS_FLAG</t>
  </si>
  <si>
    <t xml:space="preserve">1. View Name - </t>
  </si>
  <si>
    <t xml:space="preserve">5. Table Functional Description - </t>
  </si>
  <si>
    <t>6. Filter Criteria -  NA</t>
  </si>
  <si>
    <t>Logic if necessary:</t>
  </si>
  <si>
    <t>Entity Name</t>
  </si>
  <si>
    <t>Table Name</t>
  </si>
  <si>
    <t>Attribute Name</t>
  </si>
  <si>
    <t>Column Name</t>
  </si>
  <si>
    <t>Attribute/Column Definition</t>
  </si>
  <si>
    <t>Domain</t>
  </si>
  <si>
    <t>Column Datatype</t>
  </si>
  <si>
    <t>Column Null Option</t>
  </si>
  <si>
    <t>Open Tax Lots Fact</t>
  </si>
  <si>
    <t>OPN_TAX_LOTS_FACT</t>
  </si>
  <si>
    <t>Acat Type</t>
  </si>
  <si>
    <t>ACAT_TP</t>
  </si>
  <si>
    <t xml:space="preserve">MAXIT Source: = TAXLOT_DTL_OPN.ACATTYPE
RJT Source: None
Type of Transfer indicated by the external source when transferred using ACAT
Values
GFT = Gift
INH = Inherited
ITG  = Inherited Than Gifted
NTT = NonTaxable to Taxable
DRIP = A Direct Registration System (DRS)/Direct Reinvestment Plan
NULL = none
various other values are available as well
</t>
  </si>
  <si>
    <t>Name_desc</t>
  </si>
  <si>
    <t>Acat Type Code</t>
  </si>
  <si>
    <t>ACAT_TP_CD</t>
  </si>
  <si>
    <t>MAXIT Source: = TAXLOT_DTL_OPN.ACATTYPE
RJT Source: None
Type of Transfer Code indicated by the external source when transferred using ACAT
Values
GFT = Gift
INH = Inherited
ITG  = Inherited Than Gifted
NTT = NonTaxable to Taxable
DRIP = A Direct Registration System (DRS)/Direct Reinvestment Plan
NULL = none
various other values are available as well</t>
  </si>
  <si>
    <t>Code</t>
  </si>
  <si>
    <t xml:space="preserve">MAXIT Source: TAXLOT_DTL_OPN.AC_TP
RJT Source: TAX_LOT_OPN_MSTR.ACG_TP_CODE
Accounting type code from SIS (e.g., 1,2,6). 
1= Cash Account
2= Margin Account
3= Special lot 2019
5= Special lot 2013
6= Short margin Account
</t>
  </si>
  <si>
    <t>Code_01</t>
  </si>
  <si>
    <t>Accounting Type Dimension Id</t>
  </si>
  <si>
    <t>ACG_TP_DIM_ID</t>
  </si>
  <si>
    <t xml:space="preserve">MAXIT Source: TAXLOT_DTL_OPN.AC_TP
RJT Source: TAX_LOT_OPN_MSTR.ACG_TP_CODE
Lookup on Accounting Type Dimension
</t>
  </si>
  <si>
    <t>NINI</t>
  </si>
  <si>
    <t xml:space="preserve">Numeric identifier of the accounting type ID (e.g., 1006, 1001)
Lookup using Accounting type Code (MAXIT TAXLOT_DTL_OPN.AC_TP, RJT TAX_LOT_OPN_MSTR.ACG_TP_CODE)
</t>
  </si>
  <si>
    <t>MAXIT Source: TAXLOT_DTL_OPN.AC_TP
RJT Source: TAX_LOT_OPN_MSTR.ACG_TP_CODE
Lookup on Accounting Type Dimension
Accounting type name (e.g., cash account,margin account)</t>
  </si>
  <si>
    <t xml:space="preserve">Date on which the lot was acquired_x000D_
MAXIT source: TAXLOT_DTL_OPN.ACQ_DT_x000D_
RJT Source:TAX_LOT_OPN_MSTR.TD_x000D_
_x000D_
</t>
  </si>
  <si>
    <t>Date</t>
  </si>
  <si>
    <t>Acquired Date Dimension Id</t>
  </si>
  <si>
    <t>ACQ_DT_DIM_ID</t>
  </si>
  <si>
    <t>Synthetic Key identifying a single date in the DATE Dimension</t>
  </si>
  <si>
    <t>NOT NULL</t>
  </si>
  <si>
    <t xml:space="preserve">Adjusted cost for the Lot
MAXIT source: TAXLOT_DTL_OPN.ADJ_COST
RJT Source: TAX_LOT_OPN_ASOF	NML_CCY_ASOF_ADJ_COST_AMT
</t>
  </si>
  <si>
    <t>a</t>
  </si>
  <si>
    <t>Adjusted cost Not Accurate Flag</t>
  </si>
  <si>
    <t xml:space="preserve">MAXIT Source: TAXLOT_DTL_OPN.NULL_F
RJT Source: TAX_LOT_OPN_MSTR.NULL_BSS_F
Indcates that Adjusted Cost is not accurate due to missing cost on atleast one sublot
Source:NULL_F
Y = 	YES ? At least one of the associated average cost records is missing average cost
N = 	NO ? None of the associated average cost records are missing average cost
</t>
  </si>
  <si>
    <t>Flag</t>
  </si>
  <si>
    <t>Arrangement Dimension Id</t>
  </si>
  <si>
    <t>AR_DIM_ID</t>
  </si>
  <si>
    <t>Arrangement Id for the account
MAXIT Source: TAX_LOT_DTL_OPN/CLS.AR_ID
RJT Source:TAX_LOT_OPN_MSTR.AR_ID
Lookup on AR_DIM using EFF_DT</t>
  </si>
  <si>
    <t>Arrangement Id for the account
MAXIT Source:TAX_LOT_DTL_OPN/CLS.AR_ID
RJT Source:TAX_LOT_OPN_MSTR.AR_ID</t>
  </si>
  <si>
    <t>NUMBER(9,0)</t>
  </si>
  <si>
    <t>Average Adjusted Cost per Unit</t>
  </si>
  <si>
    <t>AVG_ADJ_COST_PER_UNIT</t>
  </si>
  <si>
    <t>Calculated. See SRD</t>
  </si>
  <si>
    <t>Buy Trade Number</t>
  </si>
  <si>
    <t>BUY_TRD_NUM</t>
  </si>
  <si>
    <t xml:space="preserve">Trade number for the buy when lot was established with a buy transaction
MAXIT Source: TAXLOT_DTL_OPN.BUY_TRD_NUM
RJT Source: TAX_LOT_OPN_MSTR.TRD_NUM
</t>
  </si>
  <si>
    <t xml:space="preserve">Product Id assigned by CCAL
MAXIT Source: TAX_LOT_DTL_OPN/CLS.PD_ID
RJT Source: TAX_LOT_OPN_MSTR.CCAL_PD_ID
</t>
  </si>
  <si>
    <t xml:space="preserve">MAXIT Source:TAXLOT_DTL_OPN.CTF_NUM
RJT Source: TAX_LOT_OPN_MSTR.TAX_LOT_CTF_NUM
</t>
  </si>
  <si>
    <t xml:space="preserve">MAXIT Source:TAXLOT_DTL_OPN.CTF_NUM_PFX
RJT Source: TAX_LOT_OPN_MSTR.TAX_LOT_CTF_NUM_PFX
</t>
  </si>
  <si>
    <t>MAXIT Source: TAX_LOT_DTL_OPN/CLS.PD_ID
RJT Source: TAX_LOT_OPN_MSTR.CCAL_PD_ID
Lookup on IMT_PD_DIM using CL_PD_ID
PD_ID from CIRD - can be used as join key if date context is supplied at query time</t>
  </si>
  <si>
    <t xml:space="preserve">Original total purchase cost of the instrument
Buy, the net amount is shown. 
Sell, cost sold for a sell is displayed. 
Note: This field cannot be used currently as it is not prorated or adjusted for changes/actions/partial sells where a change in quantity is made.
MAXIT Source: TAXLOT_DTL_OPN.ORIG_COST
RJT Source:TAX_LOT_OPN_ASOF.NML_ASOF_CRN_COST_AMT
</t>
  </si>
  <si>
    <t xml:space="preserve">Cost Basis Legislation Coverage: ?covered? securities are those impacted by the cost basis legislation (which is dependent on the security type and acquisition date) and subject to the new IRS reporting requirements.
U = 	Uncovered Tax Lot
C = 	Covered Tax Lot
MAXIT Source: TAXLOT_DTL_OPN.CVRD_UNCVRD
RJT Source: TAX_LOT_OPN_MSTR.CVRD_F
</t>
  </si>
  <si>
    <t xml:space="preserve">
For Brokerage if the covered uncovered from tax lot detail open table is C, then set to Y Otherwise, set to N
For RJ Trust accounts if the Covered Flag from the tax lot open master table is C, then set to Y Otherwise, set to N 
</t>
  </si>
  <si>
    <t>Cost Basis Shareholder Provided Code</t>
  </si>
  <si>
    <t>COST_BSS_SHRHLR_PVDD_CD</t>
  </si>
  <si>
    <t>Cost Basis provided by the client. Y=Yes, N= No other code values 0 (zero) and Null. We do not have documentation on these codes
MAXIT Source:TAXLOT_DTL_OPN.BSS_SHP 
RJT Source: None</t>
  </si>
  <si>
    <t>The name that represents the user who created an occurrence of a/an Open Tax Lots Fact.</t>
  </si>
  <si>
    <t>VARCHAR2(255)</t>
  </si>
  <si>
    <t xml:space="preserve">MAXIT Source: TAXLOT_DTL_OPN.CCY_CODE
RJT Source: TAX_LOT_OPN_ASOF.NML_ISO_CCY_CODE
</t>
  </si>
  <si>
    <t>Disallowed Wash sale Amount</t>
  </si>
  <si>
    <t xml:space="preserve">MAXIT Source: TAXLOT_DTL_OPN.DISALWD_WASHSALE_AMT
RJT Source: TAX_LOT_OPN_MSTR.NML_CCY_WASH_SALE_AMT
</t>
  </si>
  <si>
    <t>Dual Basis Flag</t>
  </si>
  <si>
    <t>DUAL_BSS_F</t>
  </si>
  <si>
    <t xml:space="preserve">Possible values
 Y = Record is a depreciated dual basis gift
 N  = Record is not a depreciated dual basis gift
For Brokerage accounts
 If the ACAT type is null and the Original Transaction Type is GFT from tax lot detail open And Fair market value from tax lot detail open is greater than zero And Adjusted cost amount from tax lot detail open is greater than zero And Fair market value is less than or equal to adjusted cost amount then Set to Y
 or
 If the ACAT Type is GFT or ITG from tax lot detail open and Fair market value from tax lot detail open is greater than zero And Adjusted cost amount from tax lot detail open is greater than zero And Fair market value is less than or equal to adjusted cost amount then Set to Y
 Otherwise, set to N
For RJ Trust accounts
 If the Tax Lot Transaction Type Identifier is 2851 from the tax lot open master table and the SBC As Of Fair Market Value from the tax lot open as of table is greater than zero and the SBC As Of Adjusted Cost Amount from the tax lot open as of table is greater than zero and the SBC As Of Fair Market Value is less than or equal to the SBC As Of Adjusted Cost Amount then Set to Y
 Otherwise, set to N
</t>
  </si>
  <si>
    <t>EFf_DT</t>
  </si>
  <si>
    <t xml:space="preserve">MAXIT Source: TAXLOT_DTL_OPN.EFF_DT_x000D_
RJT Source: TAX_LOT_OPN_ASOF.EFF_FM_DT_x000D_
_x000D_
</t>
  </si>
  <si>
    <t>Effective Date Dimension Id</t>
  </si>
  <si>
    <t>EFF_DT_DIM_ID</t>
  </si>
  <si>
    <t xml:space="preserve">MAXIT Source: TAXLOT_DTL_OPN.END_DT
RJT Source: TAX_LOT_OPN_ASOF.EFF_TO_DT
</t>
  </si>
  <si>
    <t>End Date Dimension Id</t>
  </si>
  <si>
    <t>END_DT_DIM_ID</t>
  </si>
  <si>
    <t xml:space="preserve">
MAXIT Source: TAXLOT_DTL_OPN.EXG_RATE
RJT Source: TAX_LOT_OPN_ASOF.SBC_EXG_RATE
</t>
  </si>
  <si>
    <t xml:space="preserve">MAXIT Source: TAXLOT_DTL_OPN.FMV
RJT SOurce: TAX_LOT_OPN_ASOF.NML_CCY_ASOF_FAIR_MKT_VAL_AMT
For MAXIT (Brokerage) Fair market value of the tax lot at the point of gifting or inheritance
Source: FMV
For gifted or inherited transactions only.  
Sourced from:
1) account to account RAD Activity receive record sent to Maxit from RJ
2) CBRS record received from contra firm
3) manual entry by business 
</t>
  </si>
  <si>
    <t xml:space="preserve">MAXIT Source: TAXLOT_DTL_OPN.GIFT_DT
RJT Source: TAX_LOT_OPN_MSTR.GIFT_DT
For gifted tax lots this gives date of gift.
Source: GIFT_DT
</t>
  </si>
  <si>
    <t>Gift Date Dimension Id</t>
  </si>
  <si>
    <t>GIFT_DT_DIM_ID</t>
  </si>
  <si>
    <t>Investment Product Dimension Id</t>
  </si>
  <si>
    <t>IMT_PD_DIM_ID</t>
  </si>
  <si>
    <t xml:space="preserve">MAXIT Source: TAX_LOT_DTL_OPN/CLS.PD_ID
RJT Source: TAX_LOT_OPN_MSTR.CCAL_PD_ID
Lookup on IMT_PD_DIM using CL_PD_ID
</t>
  </si>
  <si>
    <t>The name that represents the user or application who inserted, updated, or deleted each occurrence of Open Tax Lots Fact.</t>
  </si>
  <si>
    <t>Life to Date Market Discount</t>
  </si>
  <si>
    <t>Life to date market discount amount_x000D_
_x000D_
Total market discount accrued since the purchase of the bond_x000D_
_x000D_
MAXIT Source: TAXLOT_DTL_OPN.LTD_MKT_DISCOUNT</t>
  </si>
  <si>
    <t>Frozen</t>
  </si>
  <si>
    <t xml:space="preserve">A value that represents the tax lot being a long or short position.
Valid Values:
L = Long
S = Short
MAXIT Source: TAXLOT_DTL_OPN.LONG_SHRT_POS
rjt sOURCE: TAX_LOT_OPN_MSTR.POS_LONG_SHRT_CODE
</t>
  </si>
  <si>
    <t xml:space="preserve">MAXIT Source: TAXLOT_DTL_OPN.LOSS_NOT_ALLOWED
RJT Source: None
In a cash and stock merger the client may not be allowed to take a loss on the disposition of the old stock, any losses are rolled into the new stock. Merger / Acquisition or Corporate Inversion Transactions.  This field is currently used on Closed Tax Lot Tax Reporting at this time.  
Values:
N = No, Loss allowed
Y = Yes, No Loss allowed
</t>
  </si>
  <si>
    <t xml:space="preserve">Indicates that Cost basis is not available for this position
MAXIT Source: TAXLOT_DTL_OPN.MISS_COST_F
RJT Source: TAX_LOT_OPN_MSTR.MISS_COST_F
</t>
  </si>
  <si>
    <t>missing invest cost flag</t>
  </si>
  <si>
    <t xml:space="preserve">For Brokerage accounts_x000D_
 If the reinvest flag from tax lot detail open is not equal to Y_x000D_
  If the missing cost flag from tax lot detail open is Y, then set to Y_x000D_
  If the missing average cost flag (null flag) from tax lot detail open is Y, then set to Y_x000D_
 Otherwise, set to N_x000D_
_x000D_
For RJ Trust accounts_x000D_
 If the reinvest flag from tax lot open master is not equal to Y_x000D_
  If the Missing Cost Flag from the tax lot open master table is Y, then set to Y_x000D_
  If the Null Basis Flag from the tax lot open master table is Y, then set to Y_x000D_
?Otherwise, set to N_x000D_
_x000D_
</t>
  </si>
  <si>
    <t xml:space="preserve">Price_factor of opening transaction
Used for factored bonds
MAXIT Source: TAXLOT_DTL_OPN.OPN_FCTR
RJT Source: TAX_LOT_OPN_MSTR.NML_CCY_OPN_PRC_FCTR
</t>
  </si>
  <si>
    <t>Open Tax Lots Fact Id</t>
  </si>
  <si>
    <t>OPN_TAX_LOTS_FACT_ID</t>
  </si>
  <si>
    <t>surrogate key of the table</t>
  </si>
  <si>
    <t xml:space="preserve">Source: TAXLOT_DTL_OPN.OPN_TXN_EV_ID
RJT Source: TAX_LOT_OPN_MSTR.TAX_LOT_TXN_EV_TP_ID
For open lots ? Maxit Event ID
For closed lots ? Maxit Event ID of the closing transaction
For open and closed lots, this field includes the 'event' of the opening transaction
This is a Maxit created Event Name to identify tax lots and create associations between tax lots
"
</t>
  </si>
  <si>
    <t>Original acquisition date</t>
  </si>
  <si>
    <t>ORIG_ACQ_DT</t>
  </si>
  <si>
    <t>Original acquired date is unique and not similar to Acquires date. ORIG_ACQUI_DATE  is the acquisition date of the lot, but currently it is only being populated when there is a return of capital payment and it pushes the cost below zero.  We currently only display these lots on our tax extract and they are shown on the client’s 1099, however that does not mean we will not display them within other application in the future.</t>
  </si>
  <si>
    <t xml:space="preserve">MAAXIT Source: ORIG_EV_ID
Opening transaction original event ID.  Used when opening transaction event ID represents a corporate action, in which case the original event ID (such as DRIP BUY, gift, or inheritance, etc. is more important)
Maxit ID of the original opening transaction (i.e. would be the id associated with a buy should a reorg/corp action come along and close out that open and create new open with new opening transaction id).
Source: ORIG_EV_ID
</t>
  </si>
  <si>
    <t xml:space="preserve">Per share price of the opening tax lot.
big_prc of the Buy/open short. Will be populated for a sell with opening price. 
Note: This field cannot be used currently as it is not prorated or adjusted for changes/actions/partial sells where a change in quantity is made.
MAXIT Source: TAXLOT_DTL_OPN.ORIG_PRC
RJT Source: TAX_LOT_OPN_MSTR.NML_CCY_ORIG_PRC
</t>
  </si>
  <si>
    <t xml:space="preserve">Net_amount of asgn sell before adding premium.
Note: This field cannot be used currently as it is not prorated or adjusted for changes/actions/partial sells where a change in quantity is made.
MAXIT Source: TAXLOT_DTL_OPN.ORIG_PROCD
RJT Source: TAX_LOT_OPN_MSTR.NML_CCY_ORIG_PROCD_AMT
</t>
  </si>
  <si>
    <t>MAXIT Source: TAXLOT_DTL_OPN.ORIG_TXN_TP
RJT Source:TAX_LOT_OPN_MSTR.ORIG_TAX_LOT_TXN_TP_ID
Opening transaction original TRAN TYPE ID.  Used when opening transaction tran type represents a corporate action, in which case the original tran type (such as DRP, GFT, or INH, etc. is more important)
Additional Notes:  The purpose of this field is to preserve the TRAN_TYPE with which the position was opened.  As opposed to TRAN_TYPE, this field survives corporate actions and wash sale sub-lot allocation.  One of the important use cases of ORIGINAL_TRAN_TYPE is alongside of transfers such as ACATs, where the values of INH and GFT indicate gift or inheritance.  It should be noted that lots created due to corporate actions on inherited or gifted positions will have ORIGINAL_TRAN_TYPE of INH and GFT, and the TRAN_TYPE set to that of the corporate action.
This is a Maxit specific code that describes the category of transaction/action that created the open tax lot.
Note:
Inherited = INH
Inherited than Gifted = ITG - NEW TFS Requirement 195137
Gifted = GFT
source: ORIG_TXN_TP
existing values: 
BUY, INH, DRP, ACT, XCH, SED, ATF, RCV, BTO, SHS, EXC, GFT, SCC, STO, CCG, ASN, SPN, RSP, MRG, SDV, RTS, DVR, BPR, WSH, ACQ, OID, MDI, NQSI, LIQ</t>
  </si>
  <si>
    <t xml:space="preserve">Holding date of the opening tax lot.  Is available on the sell transaction as well.
Note: This should coincide with the acquisition date unless the sale is affected by an action in which the acquisition date changes but the holding date stays the same.  i.e. wash sale, gifts, etc.)
Used to calculate the term for most cases
MAXIT Source: TAXLOT_DTL_OPN.HLDG_DT
RJT Source: TAX_LOT_OPN_MSTR.POS_INCPTN_DT
</t>
  </si>
  <si>
    <t>Position Inception Date Dimension Id</t>
  </si>
  <si>
    <t>POS_INCPTN_DT_DIM_ID</t>
  </si>
  <si>
    <t xml:space="preserve">MAXIT Source:TAXLOT_DTL_OPN. PREMIUM
RJT Source: None
option premium amount added to the underlying stock when an option is assigned to the holder.
</t>
  </si>
  <si>
    <t xml:space="preserve">Contains the total shares / PAR value for the open or closed tax lot position.   
Lot quantity per Maxit
When long_short_position = S, always set to (absolute value * -1)
When long_short_position = L, always set to absolute value 
MAXIT Source: TAXLOT_DTL_OPN.QTY
RJT Source: TAX_LOT_OPN_ASOF.TAX_LOT_ASOF_QTY
</t>
  </si>
  <si>
    <t xml:space="preserve">MAXIT Source: TAXLOT_DTL_OPN.RVST_F
RJT Source: TAX_LOT_OPN_MSTR.RVST_F
For MAXIT it is RJ Derived
When original_tran_type = DRP, set to Y
ELSE set to N 
"	
</t>
  </si>
  <si>
    <t xml:space="preserve">Settlement date of Open/close transaction supplied by RJ or created by Maxit for corporate actions.
MAXIT Source: TAXLOT_DTL_OPN.SD
RJT Source: TAX_LOT_OPN_MSTR.SD
 </t>
  </si>
  <si>
    <t>Settlement Date Dimension Id</t>
  </si>
  <si>
    <t>SD_DIM_ID</t>
  </si>
  <si>
    <t>Source Effective Date</t>
  </si>
  <si>
    <t>SRC_EFF_DT</t>
  </si>
  <si>
    <t xml:space="preserve">MAXIT Source: SRC_EFF_DT
Transaction date from Maxit.  
Populated on both open and closed tax lots.
corresponds to FABook c_effective_date in the closed tax lot table. 
</t>
  </si>
  <si>
    <t xml:space="preserve">MAXIT Source: CCAL_TAXLOT_OWNER.TAXLOT_DTL_OPN/CLS.RCRD_TP
RJT Source: TAX_LOT_OPN_MSTR	SRC_RCRD_TP_ID (CCAL_OWNER.RCRD_TP)
values
A = 	Assigned ? Associated with the Closed Tax Lot ONLY
B = 	Buy ? Associated with the Open Tax Lot ONLY
C = 	Cover Short ? Associated with Closed Tax Lot ONLY
D = 	Deliver ? Associated with Closed Tax Lot ONLY
E = 	Expired ? Associated with Closed Tax Lot ONLY
H = 	Transfer of a Short Deliver ? Associated with the Open Tax Lot ONLY
L =  	Short Sell ? Associated with the Open Tax Lot ONLY
M = 	Redemption ? Associated with Closed Tax Lot ONLY
R = 	Receive Record ? Associated with either Open or Closed Tax Lot
S = 	Sell ? Associated with Closed Tax Lot ONLY
V = 	Dividend Reinvestment ? Associated with the Open Tax Lot ONLY
Z = 	record type is not applicable to that type of record
</t>
  </si>
  <si>
    <t xml:space="preserve">MAXIT: Hardcode ??? We need to setup a source system
RJT Source: TAX_LOT_OPN_MSTR.SRC_STM_ID
</t>
  </si>
  <si>
    <t>Source System Dimension Id</t>
  </si>
  <si>
    <t>SRC_STM_DIM_ID</t>
  </si>
  <si>
    <t>Surrogate Key for Source system dim</t>
  </si>
  <si>
    <t xml:space="preserve">Name of the source system e.g., SIS - Securities Industry Software, Raymond James, Raymond James Bank, Shadow Suite
MAXIT: Hardcode ??? We need to setup a source system
RJT Source: TAX_LOT_OPN_MSTR.SRC_STM_ID
</t>
  </si>
  <si>
    <t>system Base Currency Adjusted Cost</t>
  </si>
  <si>
    <t>System Base Currency Disallowed Wash sale Amount</t>
  </si>
  <si>
    <t xml:space="preserve">MAXIT Source: TAXLOT_DTL_OPN.FMV
For MAXIT (Brokerage) Fair market value of the tax lot at the point of gifting or inheritance
Source: FMV
For gifted or inherited transactions only.  
Sourced from:
1) account to account RAD Activity receive record sent to Maxit from RJ
2) CBRS record received from contra firm
3) manual entry by business 
</t>
  </si>
  <si>
    <t xml:space="preserve">MAXIT Source: TAXLOT_DTL_OPN.UC
RJT Source: TAX_LOT_OPN_ASOF.NML_CCY_ASOF_PER_UC_AMT
</t>
  </si>
  <si>
    <t xml:space="preserve">MAXIT source: MAXIT_IFCE_SEQ_ID
RJT Source: TAX_LOT_OPN_MSTR.TAX_LOT_EXT_REFR_KEY_PRIM
</t>
  </si>
  <si>
    <t xml:space="preserve">SOurce: TAXLOT_DTL_OPN.REL_LOT_ID
RJT Source: TAX_LOT_OPN_MSTR.TAX_LOT_EXT_REFR_KEY_QTRNY
</t>
  </si>
  <si>
    <t xml:space="preserve">source:TAXLOT_DTL_OPN.MAXIT_REL_IFCE_SEQ_ID
RJT Source: TAX_LOT_OPN_MSTR.TAX_LOT_EXT_REFR_KEY_SCDY
</t>
  </si>
  <si>
    <t>Source: TAXLOT_DTL_OPN.MAXIT_TXN_LOT_ID
RJT Source: TAX_LOT_OPN_MSTR.TAX_LOT_EXT_REFR_KEY_TRTY</t>
  </si>
  <si>
    <t xml:space="preserve">logic:
1.	For inherited tax lots, it is set to Inherited
1.1.	For Brokerage accounts, this is when the ACAT Type is null and Original Transaction Type is INH from the tax lot detail open table or ACAT Type is INH from the tax lot detail open table 
1.2.	For RJ Trust accounts, this is when the Tax Lot Transaction Type Identifier is 2846 from the tax lot open master table
2.	For gifted or gifted then inherited tax lots, it is set to Gift
2.1	For Brokerage accounts, this is when the ACAT Type is null and Original Transaction Type is GFT from the tax lot detail open table or ACAT Type is GFT or ITG from the tax lot detail open table 
2.2	For RJ Trust accounts, this is when the Tax Lot Transaction Type Identifier is 2851 from the tax lot open master table
3.	For reinvested tax lots, it is set to Reinvestment
3.1.	For Brokerage accounts, this is when the ACAT Type is not GFT, INH or ITG and the Reinvest Flag is Y from the tax lot detail open table
3.2.	For RJ Trust accounts, this is when the Tax Lot Transaction Type Identifier is not 2846 or 2851 and the Reinvest Flag is Y from the tax lot open master table
4.	For all other tax lots
4.1	For Brokerage accounts, it is the High Level Definition from the record type table where
4.1.1.	Open Close Indicator from record type table is O
4.1.2.	Realized Closing Flag is N
4.1.3.	Opening Transaction Event Id from the tax lot detail open table matches the Transaction Event Id from record type table 
4.1.4.	Otherwise, if match is not found, then set to null
4.2	For RJ Trust accounts, it is the Classification Value Name from the classification value table where
4.2.1	Tax Lot Transaction Type Identifier from the tax lot open master table matches the Classification Value Identifier from the classification table
4.2.2Classification Source Identifier from the classification table is 84
4.3	Otherwise, if match is not found, then set to null
</t>
  </si>
  <si>
    <t xml:space="preserve">MAXIT Source: TAXLOT_DTL_OPN.TRD_NUM
</t>
  </si>
  <si>
    <t>Trade_num</t>
  </si>
  <si>
    <t>transaction initiate date</t>
  </si>
  <si>
    <t xml:space="preserve">MAXIT Source:TAXLOT_DTL_OPN.TXN_INIT_DT_x000D_
RJT Source: TAX_LOT_OPN_MSTR.TXN_INTT_DT_x000D_
_x000D_
</t>
  </si>
  <si>
    <t>transaction initiate date dimension id</t>
  </si>
  <si>
    <t>TXN_INTT_DT_DIM_ID</t>
  </si>
  <si>
    <t xml:space="preserve">MAXIT Source: TAXLOT_DTL_OPN.TXN_TP
RJT Source: TAX_LOT_OPN_MSTR.ORIG_TAX_LOT_TXN_TP_ID
</t>
  </si>
  <si>
    <t>MAXIT Source: TAXLOT_DTL_OPN.WASH_SALE_IND
RJT Source: TAX_LOT_OPN_MSTR.WASH_SALE_F
WASH_SALE_IND on Source. Y= Wash Sale Sublot</t>
  </si>
  <si>
    <t>Wash Sale Type 
from SRD</t>
  </si>
  <si>
    <t xml:space="preserve">MAXIT Source TAXLOT_DTL_OPN.ZERO_BSS_IND
RJT Source: TAX_LOT_OPN_MSTR.ZERO_BSS_IND_F
</t>
  </si>
  <si>
    <t>DATA_TYPE</t>
  </si>
  <si>
    <t>NULLABLE</t>
  </si>
  <si>
    <t>DATA_DEFAULT</t>
  </si>
  <si>
    <t>COLUMN_ID</t>
  </si>
  <si>
    <t>COMMENTS</t>
  </si>
  <si>
    <t>VARCHAR2(500 BYTE)</t>
  </si>
  <si>
    <t>MAXIT Source: = TAXLOT_DTL_OPN.ACATTYPE
RJT Source: None
Type of Transfer indicated by the external source when transferred using ACAT
Values
GFT = Gift
INH = Inherited
ITG  = Inherited Than Gifted
NTT = NonTaxable to Taxable
DRIP = A Direct Registration System (DRS)/Direct Reinvestment Plan
NULL = none
various other values are available as well</t>
  </si>
  <si>
    <t>VARCHAR2(40 BYTE)</t>
  </si>
  <si>
    <t>MAXIT Source: = TAXLOT_DTL_OPN.ACATTYPE
RJT Source: None
Type of Transfer Code indicated by the external source when transferred using ACAT
Values
GFT = Gift
INH = Inherited
ITG  = Inherited Than Gifted
NTT = NonTaxable to Taxable
DRIP = A Direct Registration System (DRS)/Direct Reinvestment Plan
NULL = none
various other values are available as well</t>
  </si>
  <si>
    <t>VARCHAR2(1 BYTE)</t>
  </si>
  <si>
    <t>MAXIT Source: TAXLOT_DTL_OPN.AC_TP
RJT Source: TAX_LOT_OPN_MSTR.ACG_TP_CODE
Accounting type code from SIS (e.g., 1,2,6). 
1= Cash Account
2= Margin Account
3= Special lot 2019
5= Special lot 2013
6= Short margin Account</t>
  </si>
  <si>
    <t>MAXIT Source: TAXLOT_DTL_OPN.AC_TP RJT Source: TAX_LOT_OPN_MSTR.ACG_TP_CODE Lookup on Accounting Type Dimension</t>
  </si>
  <si>
    <t xml:space="preserve">Numeric identifier of the accounting type ID (e.g., 1006, 1001) Lookup using Accounting type Code (MAXIT TAXLOT_DTL_OPN.AC_TP, RJT TAX_LOT_OPN_MSTR.ACG_TP_CODE) </t>
  </si>
  <si>
    <t>MAXIT Source: TAXLOT_DTL_OPN.AC_TP RJT Source: TAX_LOT_OPN_MSTR.ACG_TP_CODE
Lookup on Accounting Type Dimension
Accounting type name (e.g., cash account,margin account)</t>
  </si>
  <si>
    <t>Date on which the lot was acquired
MAXIT source: TAXLOT_DTL_OPN.ACQ_DT
RJT Source:TAX_LOT_OPN_MSTR.TD</t>
  </si>
  <si>
    <t>Adjusted cost for the Lot
MAXIT source: TAXLOT_DTL_OPN.ADJ_COST
RJT Source: TAX_LOT_OPN_ASOF	NML_CCY_ASOF_ADJ_COST_AMT</t>
  </si>
  <si>
    <t>MAXIT Source: TAXLOT_DTL_OPN.NULL_F
RJT Source: TAX_LOT_OPN_MSTR.NULL_BSS_F
Indcates that Adjusted Cost is not accurate due to missing cost on atleast one sublot
Source:NULL_F
Y = 	YES – At least one of the associated average cost records is missing average cost
N = 	NO – None of the associated average cost records are missing average cost</t>
  </si>
  <si>
    <t>Arrangement Id for the account
MAXIT Source: TAX_LOT_DTL_OPN/CLS.AR_ID
RJT Source:TAX_LOT_OPN_MSTR.AR_ID
Lookup on AR_DIM using EFF_DT</t>
  </si>
  <si>
    <t>Arrangement Id for the account MAXIT Source:TAX_LOT_DTL_OPN/CLS.AR_ID RJT Source:TAX_LOT_OPN_MSTR.AR_ID</t>
  </si>
  <si>
    <t>VARCHAR2(80 BYTE)</t>
  </si>
  <si>
    <t>Trade number for the buy when lot was established with a buy transaction
MAXIT Source: TAXLOT_DTL_OPN.BUY_TRD_NUM
RJT Source: TAX_LOT_OPN_MSTR.TRD_NUM</t>
  </si>
  <si>
    <t>Product Id assigned by CCAL
MAXIT Source: TAX_LOT_DTL_OPN/CLS.PD_ID
RJT Source: TAX_LOT_OPN_MSTR.CCAL_PD_ID</t>
  </si>
  <si>
    <t>VARCHAR2(7 BYTE)</t>
  </si>
  <si>
    <t>MAXIT Source: TAXLOT_DTL_OPN.CCY_CODE RJT Source: TAX_LOT_OPN_ASOF.NML_ISO_CCY_CODE</t>
  </si>
  <si>
    <t>MAXIT Source: TAX_LOT_DTL_OPN/CLS.PD_ID RJT Source: TAX_LOT_OPN_MSTR.CCAL_PD_ID
Lookup on IMT_PD_DIM using CL_PD_ID PD_ID from CIRD - can be used as join key if date context is supplied at query time</t>
  </si>
  <si>
    <t>Original total purchase cost of the instrument
Buy, the net amount is shown. 
Sell, cost sold for a sell is displayed. 
Note: This field cannot be used currently as it is not prorated or adjusted for changes/actions/partial sells where a change in quantity is made.
MAXIT Source: TAXLOT_DTL_OPN.ORIG_COST
RJT Source:TAX_LOT_OPN_ASOF.NML_ASOF_CRN_COST_AMT</t>
  </si>
  <si>
    <t>Cost Basis Legislation Coverage: “covered” securities are those impacted by the cost basis legislation (which is dependent on the security type and acquisition date) and subject to the new IRS reporting requirements.
U = 	Uncovered Tax Lot
C = 	Covered Tax Lot
MAXIT Source: TAXLOT_DTL_OPN.CVRD_UNCVRD
RJT Source: TAX_LOT_OPN_MSTR.CVRD_F</t>
  </si>
  <si>
    <t xml:space="preserve">
For Brokerage if the covered uncovered from tax lot detail open table is C, then set to Y Otherwise, set to N
For RJ Trust accounts if the Covered Flag from the tax lot open master table is C, then set to Y Otherwise, set to N </t>
  </si>
  <si>
    <t xml:space="preserve">SYSDATE  </t>
  </si>
  <si>
    <t>VARCHAR2(256 BYTE)</t>
  </si>
  <si>
    <t xml:space="preserve">USER  </t>
  </si>
  <si>
    <t>The name that represents the user who created an occurrence of a/an Position Open Tax Lots Fact.</t>
  </si>
  <si>
    <t>MAXIT Source:TAXLOT_DTL_OPN.CTF_NUM RJT Source: TAX_LOT_OPN_MSTR.TAX_LOT_CTF_NUM</t>
  </si>
  <si>
    <t>MAXIT Source:TAXLOT_DTL_OPN.CTF_NUM_PFX RJT Source: TAX_LOT_OPN_MSTR.TAX_LOT_CTF_NUM_PFX</t>
  </si>
  <si>
    <t>MAXIT Source: TAXLOT_DTL_OPN.DISALWD_WASHSALE_AMT RJT Source: TAX_LOT_OPN_MSTR.NML_CCY_WASH_SALE_AMT</t>
  </si>
  <si>
    <t>Possible values
 Y = Record is a depreciated dual basis gift
 N  = Record is not a depreciated dual basis gift
For Brokerage accounts
 If the ACAT type is null and the Original Transaction Type is GFT from tax lot detail open And Fair market value from tax lot detail open is greater than zero And Adjusted cost amount from tax lot detail open is greater than zero And Fair market value is less than or equal to adjusted cost amount then Set to Y
 or
 If the ACAT Type is GFT or ITG from tax lot detail open and Fair market value from tax lot detail open is greater than zero And Adjusted cost amount from tax lot detail open is greater than zero And Fair market value is less than or equal to adjusted cost amount then Set to Y
 Otherwise, set to N
For RJ Trust accounts
 If the Tax Lot Transaction Type Identifier is 2851 from the tax lot open master table and the SBC As Of Fair Market Value from the tax lot open as of table is greater than zero and the SBC As Of Adjusted Cost Amount from the tax lot open as of table is greater than zero and the SBC As Of Fair Market Value is less than or equal to the SBC As Of Adjusted Cost Amount then Set to Y
 Otherwise, set to N</t>
  </si>
  <si>
    <t>MAXIT Source: TAXLOT_DTL_OPN.EFF_DT RJT Source: TAX_LOT_OPN_ASOF.EFF_FM_DT</t>
  </si>
  <si>
    <t>MAXIT Source: TAXLOT_DTL_OPN.END_DT RJT Source: TAX_LOT_OPN_ASOF.EFF_TO_DT</t>
  </si>
  <si>
    <t xml:space="preserve">
MAXIT Source: TAXLOT_DTL_OPN.EXG_RATE
RJT Source: TAX_LOT_OPN_ASOF.SBC_EXG_RATE</t>
  </si>
  <si>
    <t xml:space="preserve">MAXIT Source: TAXLOT_DTL_OPN.FMV
RJT SOurce: TAX_LOT_OPN_ASOF.NML_CCY_ASOF_FAIR_MKT_VAL_AMT
For MAXIT (Brokerage) Fair market value of the tax lot at the point of gifting or inheritance
Source: FMV
For gifted or inherited transactions only.  
Sourced from:
1) account to account RAD Activity receive record sent to Maxit from RJ
2) CBRS record received from contra firm
3) manual entry by business </t>
  </si>
  <si>
    <t>MAXIT Source: TAXLOT_DTL_OPN.GIFT_DT RJT Source: TAX_LOT_OPN_MSTR.GIFT_DT For gifted tax lots this gives date of gift. Source: GIFT_DT</t>
  </si>
  <si>
    <t>Surrogate key for Instrument Product Dim</t>
  </si>
  <si>
    <t>The name that represents the user or application who inserted, updated, or deleted each occurrence of Position Open Tax Lots Fact.</t>
  </si>
  <si>
    <t>Life to date market discount amount Total market discount accrued since the purchase of the bond MAXIT Source: TAXLOT_DTL_OPN.LTD_MKT_DISCOUNT</t>
  </si>
  <si>
    <t>A value that represents the tax lot being a long or short position.
Valid Values:
L = Long
S = Short
MAXIT Source: TAXLOT_DTL_OPN.LONG_SHRT_POS
rjt sOURCE: TAX_LOT_OPN_MSTR.POS_LONG_SHRT_CODE</t>
  </si>
  <si>
    <t>MAXIT Source: TAXLOT_DTL_OPN.LOSS_NOT_ALLOWED
RJT Source: None
In a cash and stock merger the client may not be allowed to take a loss on the disposition of the old stock, any losses are rolled into the new stock. Merger / Acquisition or Corporate Inversion Transactions.  This field is currently used on Closed Tax Lot Tax Reporting at this time.  
Values:
N = No, Loss allowed
Y = Yes, No Loss allowed</t>
  </si>
  <si>
    <t>Indicates that Cost basis is not available for this position
MAXIT Source: TAXLOT_DTL_OPN.MISS_COST_F
RJT Source: TAX_LOT_OPN_MSTR.MISS_COST_F</t>
  </si>
  <si>
    <t>For Brokerage accounts
  If the reinvest flag from tax lot detail open is not equal to Y
  If the missing cost flag from tax lot detail open is Y, then set to Y
  If the missing average cost flag (null flag) from tax lot detail open is Y, then set to Y
 Otherwise, set to N
For RJ Trust accounts
  If the reinvest flag from tax lot open master is not equal to Y
  If the Missing Cost Flag from the tax lot open master table is Y, then set to Y
  If the Null Basis Flag from the tax lot open master table is Y, then set to Y
 Otherwise, set to N</t>
  </si>
  <si>
    <t>Price_factor of opening transaction
Used for factored bonds
MAXIT Source: TAXLOT_DTL_OPN.OPN_FCTR
RJT Source: TAX_LOT_OPN_MSTR.NML_CCY_OPN_PRC_FCTR</t>
  </si>
  <si>
    <t>Source: TAXLOT_DTL_OPN.OPN_TXN_EV_ID
RJT Source: TAX_LOT_OPN_MSTR.TAX_LOT_TXN_EV_TP_ID
For open lots – Maxit Event ID
For closed lots – Maxit Event ID of the closing transaction
For open and closed lots, this field includes the 'event' of the opening transaction
This is a Maxit created Event Name to identify tax lots and create associations between tax lots"</t>
  </si>
  <si>
    <t>VARCHAR2(32 BYTE)</t>
  </si>
  <si>
    <t>MAAXIT Source: ORIG_EV_ID
Opening transaction original event ID.  Used when opening transaction event ID represents a corporate action, in which case the original event ID (such as DRIP BUY, gift, or inheritance, etc. is more important)
Maxit ID of the original opening transaction (i.e. would be the id associated with a buy should a reorg/corp action come along and close out that open and create new open with new opening transaction id).
Source: ORIG_EV_ID</t>
  </si>
  <si>
    <t>Per share price of the opening tax lot.big_prc of the Buy/open short. Will be populated for a sell with opening price. 
Note: This field cannot be used currently as it is not prorated or adjusted for changes/actions/partial sells where a change in quantity is made.
MAXIT Source: TAXLOT_DTL_OPN.ORIG_PRC
RJT Source: TAX_LOT_OPN_MSTR.NML_CCY_ORIG_PRC</t>
  </si>
  <si>
    <t>Net_amount of asgn sell before adding premium.
Note: This field cannot be used currently as it is not prorated or adjusted for changes/actions/partial sells where a change in quantity is made.
MAXIT Source: TAXLOT_DTL_OPN.ORIG_PROCD
RJT Source: TAX_LOT_OPN_MSTR.NML_CCY_ORIG_PROCD_AMT</t>
  </si>
  <si>
    <t>MAXIT Source: TAXLOT_DTL_OPN.ORIG_TXN_TP RJT Source:TAX_LOT_OPN_MSTR.ORIG_TAX_LOT_TXN_TP_ID
Opening transaction original TRAN TYPE ID.  Used when opening transaction tran type represents a corporate action, in which case the original tran type (such as DRP, GFT, or INH, etc. is more important)
Additional Notes:  The purpose of this field is to preserve the TRAN_TYPE with which the position was opened.  As opposed to TRAN_TYPE, this field survives corporate actions and wash sale sub-lot allocation.  One of the important use cases of ORIGINAL_TRAN_TYPE is alongside of transfers such as ACATs, where the values of INH and GFT indicate gift or inheritance.  It should be noted that lots created due to corporate actions on inherited or gifted positions will have ORIGINAL_TRAN_TYPE of INH and GFT, and the TRAN_TYPE set to that of the corporate action.
This is a Maxit specific code that describes the category of transaction/action that created the open tax lot.
Note:
Inherited = INH
Inherited than Gifted = ITG - NEW TFS Requirement 195137
Gifted = GFT
source: ORIG_TXN_TP
existing values: 
BUY, INH, DRP, ACT, XCH, SED, ATF, RCV, BTO, SHS, EXC, GFT, SCC, STO, CCG, ASN, SPN, RSP, MRG, SDV, RTS, DVR, BPR, WSH, ACQ, OID, MDI, NQSI, LIQ</t>
  </si>
  <si>
    <t>Holding date of the opening tax lot.  Is available on the sell transaction as well.
Note: This should coincide with the acquisition date unless the sale is affected by an action in which the acquisition date changes but the holding date stays the same.  i.e. wash sale, gifts, etc.)
Used to calculate the term for most cases
MAXIT Source: TAXLOT_DTL_OPN.HLDG_DT
RJT Source: TAX_LOT_OPN_MSTR.POS_INCPTN_DT</t>
  </si>
  <si>
    <t>MAXIT Source:TAXLOT_DTL_OPN. PREMIUM
RJT Source: None
option premium amount added to the underlying stock when an option is assigned to the holder.</t>
  </si>
  <si>
    <t xml:space="preserve">Contains the total shares / PAR value for the open or closed tax lot position.   
Lot quantity per Maxit
When long_short_position = S, always set to (absolute value * -1)
When long_short_position = L, always set to absolute value 
MAXIT Source: TAXLOT_DTL_OPN.QTY
RJT Source: TAX_LOT_OPN_ASOF.TAX_LOT_ASOF_QTY
</t>
  </si>
  <si>
    <t xml:space="preserve">MAXIT Source: TAXLOT_DTL_OPN.RVST_F
RJT Source: TAX_LOT_OPN_MSTR.RVST_F
For MAXIT it is RJ Derived
When original_tran_type = DRP, set to Y
ELSE set to N "	</t>
  </si>
  <si>
    <t>Adjusted cost for the Lot MAXIT source: TAXLOT_DTL_OPN.ADJ_COST RJT Source: TAX_LOT_OPN_ASOF	NML_CCY_ASOF_ADJ_COST_AMT</t>
  </si>
  <si>
    <t>Original total purchase cost of the instrument Buy, the net amount is shown. 
Sell, cost sold for a sell is displayed. 
Note: This field cannot be used currently as it is not prorated or adjusted for changes/actions/partial sells where a change in quantity is made.
MAXIT Source: TAXLOT_DTL_OPN.ORIG_COST
RJT Source:TAX_LOT_OPN_ASOF.NML_ASOF_CRN_COST_AMT</t>
  </si>
  <si>
    <t xml:space="preserve">MAXIT Source: TAXLOT_DTL_OPN.FMV
For MAXIT (Brokerage) Fair market value of the tax lot at the point of gifting or inheritance
Source: FMV
For gifted or inherited transactions only.  
Sourced from:
1) account to account RAD Activity receive record sent to Maxit from RJ
2) CBRS record received from contra firm
3) manual entry by business </t>
  </si>
  <si>
    <t>Price_factor of opening transaction 
Used for factored bonds
MAXIT Source: TAXLOT_DTL_OPN.OPN_FCTR
RJT Source: TAX_LOT_OPN_MSTR.NML_CCY_OPN_PRC_FCTR</t>
  </si>
  <si>
    <t>Per share price of the opening tax lot. big_prc of the Buy/open short. Will be populated for a sell with opening price. 
Note: This field cannot be used currently as it is not prorated or adjusted for changes/actions/partial sells where a change in quantity is made.
MAXIT Source: TAXLOT_DTL_OPN.ORIG_PRC
RJT Source: TAX_LOT_OPN_MSTR.NML_CCY_ORIG_PRC</t>
  </si>
  <si>
    <t>MAXIT Source: TAXLOT_DTL_OPN.UC RJT Source: TAX_LOT_OPN_ASOF.NML_CCY_ASOF_PER_UC_AMT</t>
  </si>
  <si>
    <t>Settlement date of Open/close transaction supplied by RJ or created by Maxit for corporate actions.
MAXIT Source: TAXLOT_DTL_OPN.SD
RJT Source: TAX_LOT_OPN_MSTR.SD</t>
  </si>
  <si>
    <t xml:space="preserve">MAXIT Source: SRC_EFF_DT
Transaction date from Maxit.  
Populated on both open and closed tax lots.
corresponds to FABook c_effective_date in the closed tax lot table. </t>
  </si>
  <si>
    <t xml:space="preserve">MAXIT Source: TAXLOT_OWNER.TAXLOT_DTL_OPN/CLS.RCRD_TP
RJT Source: TAX_LOT_OPN_MSTR	SRC_RCRD_TP_ID (CCAL_OWNER.RCRD_TP)
values
A = 	Assigned – Associated with the Closed Tax Lot ONLY
B = 	Buy – Associated with the Open Tax Lot ONLY
C = 	Cover Short – Associated with Closed Tax Lot ONLY
D = 	Deliver – Associated with Closed Tax Lot ONLY
E = 	Expired – Associated with Closed Tax Lot ONLY
H = 	Transfer of a Short Deliver – Associated with the Open Tax Lot ONLY
L =  	Short Sell – Associated with the Open Tax Lot ONLY
M = 	Redemption – Associated with Closed Tax Lot ONLY
R = 	Receive Record – Associated with either Open or Closed Tax Lot
S = 	Sell – Associated with Closed Tax Lot ONLY
V = 	Dividend Reinvestment – Associated with the Open Tax Lot ONLY
Z = 	record type is not applicable to that type of record
</t>
  </si>
  <si>
    <t>MAXIT: Hardcode ??? We need to setup a source system RJT Source: TAX_LOT_OPN_MSTR.SRC_STM_ID</t>
  </si>
  <si>
    <t xml:space="preserve">MAXIT: Hardcode ??? We need to setup a source system RJT Source: TAX_LOT_OPN_MSTR.SRC_STM_ID </t>
  </si>
  <si>
    <t>VARCHAR2(60 BYTE)</t>
  </si>
  <si>
    <t>Name of the source system e.g., SIS - Securities Industry Software, Raymond James, Raymond James Bank, Shadow Suite
MAXIT: Hardcode ??? We need to setup a source system RJT Source: TAX_LOT_OPN_MSTR.SRC_STM_ID</t>
  </si>
  <si>
    <t>VARCHAR2(50 BYTE)</t>
  </si>
  <si>
    <t>MAXIT source: MAXIT_IFCE_SEQ_ID RJT Source: TAX_LOT_OPN_MSTR.TAX_LOT_EXT_REFR_KEY_PRIM</t>
  </si>
  <si>
    <t>SOurce: TAXLOT_DTL_OPN.REL_LOT_ID RJT Source: TAX_LOT_OPN_MSTR.TAX_LOT_EXT_REFR_KEY_QTRNY</t>
  </si>
  <si>
    <t>source:TAXLOT_DTL_OPN.MAXIT_REL_IFCE_SEQ_ID RJT Source: TAX_LOT_OPN_MSTR.TAX_LOT_EXT_REFR_KEY_SCDY</t>
  </si>
  <si>
    <t>Source: TAXLOT_DTL_OPN.MAXIT_TXN_LOT_ID RJT Source: TAX_LOT_OPN_MSTR.TAX_LOT_EXT_REFR_KEY_TRTY</t>
  </si>
  <si>
    <t>logic:
1.	For inherited tax lots, it is set to Inherited
1.1.	For Brokerage accounts, this is when the ACAT Type is null and Original Transaction Type is INH from the tax lot detail open table or ACAT Type is INH from the tax lot detail open table 
1.2.	For RJ Trust accounts, this is when the Tax Lot Transaction Type Identifier is 2846 from the tax lot open master table
2.	For gifted or gifted then inherited tax lots, it is set to Gift
2.1	For Brokerage accounts, this is when the ACAT Type is null and Original Transaction Type is GFT from the tax lot detail open table or ACAT Type is GFT or ITG from the tax lot detail open table 
2.2	For RJ Trust accounts, this is when the Tax Lot Transaction Type Identifier is 2851 from the tax lot open master table
3.	For reinvested tax lots, it is set to Reinvestment
3.1.	For Brokerage accounts, this is when the ACAT Type is not GFT, INH or ITG and the Reinvest Flag is Y from the tax lot detail open table
3.2.	For RJ Trust accounts, this is when the Tax Lot Transaction Type Identifier is not 2846 or 2851 and the Reinvest Flag is Y from the tax lot open master table
4.	For all other tax lots
4.1	For Brokerage accounts, it is the High Level Definition from the record type table where
4.1.1.	Open Close Indicator from record type table is O
4.1.2.	Realized Closing Flag is N
4.1.3.	Opening Transaction Event Id from the tax lot detail open table matches the Transaction Event Id from record type table 
4.1.4.	Otherwise, if match is not found, then set to null
4.2	For RJ Trust accounts, it is the Classification Value Name from the classification value table where
4.2.1	Tax Lot Transaction Type Identifier from the tax lot open master table matches the Classification Value Identifier from the classification table
4.2.2Classification Source Identifier from the classification table is 84
4.3	Otherwise, if match is not found, then set to null</t>
  </si>
  <si>
    <t>MAXIT Source: TAXLOT_DTL_OPN.TRD_NUM</t>
  </si>
  <si>
    <t>MAXIT Source:TAXLOT_DTL_OPN.TXN_INIT_DT RJT Source: TAX_LOT_OPN_MSTR.TXN_INTT_DT</t>
  </si>
  <si>
    <t>MAXIT Source: TAXLOT_DTL_OPN.TXN_TP RJT Source: TAX_LOT_OPN_MSTR.ORIG_TAX_LOT_TXN_TP_ID</t>
  </si>
  <si>
    <t>MAXIT Source: TAXLOT_DTL_OPN.WASH_SALE_IND RJT Source: TAX_LOT_OPN_MSTR.WASH_SALE_F WASH_SALE_IND on Source. Y= Wash Sale Sublot</t>
  </si>
  <si>
    <t>Wash Sale Type from SRD</t>
  </si>
  <si>
    <t>VARCHAR2(2 BYTE)</t>
  </si>
  <si>
    <t>MAXIT Source TAXLOT_DTL_OPN.ZERO_BSS_IND RJT Source: TAX_LOT_OPN_MSTR.ZERO_BSS_IND_F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</si>
</sst>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2">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d/yyyy\ h:mm:ss\ AM/PM"/>
    <numFmt numFmtId="165" formatCode="[$-409]mmmm\ d\,\ yyyy;@"/>
    <numFmt numFmtId="166" formatCode="#\ ??/32"/>
    <numFmt numFmtId="167" formatCode="&quot;$&quot;#,##0.0,_);[Red]\(&quot;$&quot;#,##0.0,\)"/>
    <numFmt numFmtId="168" formatCode="_(* #,##0,_);_(* \(#,##0,\);_(* &quot;-&quot;_);_(@_)"/>
    <numFmt numFmtId="169" formatCode="_(* #,##0.0,_);_(* \(#,##0.0,\);_(* &quot;-&quot;_);_(@_)"/>
    <numFmt numFmtId="170" formatCode="_(* #,##0.00_);_(* \(#,##0.00\);_(* &quot;-&quot;_);_(@_)"/>
    <numFmt numFmtId="171" formatCode="_(* #,##0,,_);_(* \(#,##0,,\);_(* &quot;-&quot;_);_(@_)"/>
    <numFmt numFmtId="172" formatCode="_(* #,##0.0,,_);_(* \(#,##0.0,,\);_(* &quot;-&quot;_);_(@_)"/>
    <numFmt numFmtId="173" formatCode="0.0%"/>
    <numFmt numFmtId="174" formatCode="0.0%_);\(0.0%\)"/>
    <numFmt numFmtId="175" formatCode="&quot;\&quot;#,##0.00;[Red]&quot;\&quot;\-#,##0.00"/>
    <numFmt numFmtId="176" formatCode="_-* #,##0_-;\-* #,##0_-;_-* &quot;-&quot;_-;_-@_-"/>
    <numFmt numFmtId="177" formatCode="??/64"/>
    <numFmt numFmtId="178" formatCode="0.0_)\%;\(0.0\)\%;0.0_)\%;@_)_%"/>
    <numFmt numFmtId="179" formatCode="#,##0.0_)_%;\(#,##0.0\)_%;0.0_)_%;@_)_%"/>
    <numFmt numFmtId="180" formatCode="#,##0.0_);\(#,##0.0\);#,##0.0_);@_)"/>
    <numFmt numFmtId="181" formatCode="#,##0.0_);\(#,##0.0\)"/>
    <numFmt numFmtId="182" formatCode="&quot;$&quot;_(#,##0.00_);&quot;$&quot;\(#,##0.00\);&quot;$&quot;_(0.00_);@_)"/>
    <numFmt numFmtId="183" formatCode="&quot;$&quot;_(#,##0.00_);&quot;$&quot;\(#,##0.00\)"/>
    <numFmt numFmtId="184" formatCode="#,##0.00_);\(#,##0.00\);0.00_);@_)"/>
    <numFmt numFmtId="185" formatCode="\€_(#,##0.00_);\€\(#,##0.00\);\€_(0.00_);@_)"/>
    <numFmt numFmtId="186" formatCode="#,##0_)\x;\(#,##0\)\x;0_)\x;@_)_x"/>
    <numFmt numFmtId="187" formatCode="#,##0.0_)\x;\(#,##0.0\)\x"/>
    <numFmt numFmtId="188" formatCode="#,##0_)_x;\(#,##0\)_x;0_)_x;@_)_x"/>
    <numFmt numFmtId="189" formatCode="#,##0.0_)_x;\(#,##0.0\)_x"/>
    <numFmt numFmtId="190" formatCode="0.0_)\%;\(0.0\)\%"/>
    <numFmt numFmtId="191" formatCode="0.0%;\(0.0\)%;@\ \ "/>
    <numFmt numFmtId="192" formatCode="#,##0.0_)_%;\(#,##0.0\)_%"/>
    <numFmt numFmtId="193" formatCode="0.0000000%"/>
    <numFmt numFmtId="194" formatCode="#,##0.000_);[Red]\(#,##0.000\)"/>
    <numFmt numFmtId="195" formatCode="&quot;$&quot;#,##0"/>
    <numFmt numFmtId="196" formatCode="#,##0_);\(#,##0\);&quot;&quot;"/>
    <numFmt numFmtId="197" formatCode="0.0_);\(0.0\)"/>
    <numFmt numFmtId="198" formatCode="#,##0,_);[Red]\(#,##0,\)"/>
    <numFmt numFmtId="199" formatCode="[&gt;1]&quot;10Q: &quot;0&quot; qtrs&quot;;&quot;10Q: &quot;0&quot; qtr&quot;"/>
    <numFmt numFmtId="200" formatCode="0.00\ ;\(0.00\)"/>
    <numFmt numFmtId="201" formatCode="_(* #,##0.0_);_(* \(#,##0.0\);_(* &quot;-&quot;?_);_(@_)"/>
    <numFmt numFmtId="202" formatCode="_(&quot;$&quot;* #,##0.0_);_(&quot;$&quot;* \(#,##0.0\);_(&quot;$&quot;* &quot;-&quot;?_);_(@_)"/>
    <numFmt numFmtId="203" formatCode="_(* #,##0_);[Red]_(* \(#,##0\);_(* &quot;-&quot;_);_(@_)"/>
    <numFmt numFmtId="204" formatCode="m\-d\-yy"/>
    <numFmt numFmtId="205" formatCode="#,##0.00;\(#,##0.00\)"/>
    <numFmt numFmtId="206" formatCode="#,##0.0_);[Red]\(#,##0.0\)"/>
    <numFmt numFmtId="207" formatCode="_(* #,##0.0,_);_(* \(#,##0.0,\);_(* &quot;–&quot;??_);* _(@_)"/>
    <numFmt numFmtId="208" formatCode="m/yy"/>
    <numFmt numFmtId="209" formatCode="General_)"/>
    <numFmt numFmtId="210" formatCode="_-* #,##0.00_-;\-* #,##0.00_-;_-* &quot;-&quot;??_-;_-@_-"/>
    <numFmt numFmtId="211" formatCode="0&quot; bp&quot;"/>
    <numFmt numFmtId="212" formatCode="0.0000%"/>
    <numFmt numFmtId="213" formatCode="&quot;$&quot;#,##0.00"/>
    <numFmt numFmtId="214" formatCode="#,##0.0000_);[Red]\(#,##0.0000\)"/>
    <numFmt numFmtId="215" formatCode="0.000"/>
    <numFmt numFmtId="216" formatCode="mm\-yy"/>
    <numFmt numFmtId="217" formatCode="0.00000000"/>
    <numFmt numFmtId="218" formatCode="&quot;£&quot;#,###.##\ ;\(&quot;£&quot;#,###.##\);"/>
    <numFmt numFmtId="219" formatCode="#,##0.000_);\(#,##0.000\)"/>
    <numFmt numFmtId="220" formatCode="#,##0.0000_);\(#,##0.0000\)"/>
    <numFmt numFmtId="221" formatCode="&quot;$&quot;* #,##0_);&quot;$&quot;* \(#,##0\)"/>
    <numFmt numFmtId="222" formatCode="mmmm"/>
    <numFmt numFmtId="223" formatCode="0.00\ "/>
    <numFmt numFmtId="224" formatCode="_(* #,##0.00_);_(* \(#,##0.00\);_(* &quot;–&quot;??_);* _(@_)"/>
    <numFmt numFmtId="225" formatCode="&quot;$&quot;#,##0.00;\(&quot;$&quot;#,##0.00\)"/>
    <numFmt numFmtId="226" formatCode="&quot;For COB: &quot;d\ mmm\ yyyy"/>
    <numFmt numFmtId="227" formatCode=";;;_w@_w"/>
    <numFmt numFmtId="228" formatCode="&quot;$&quot;#,##0;\(&quot;$&quot;#,##0\)"/>
    <numFmt numFmtId="229" formatCode="0.000_)"/>
    <numFmt numFmtId="230" formatCode="_-* \(#,##0\);_-* #,##0_-;_-* &quot;-     &quot;_-;_-@_-"/>
    <numFmt numFmtId="231" formatCode="_(* #,##0_);_(* \(#,##0\);_(* &quot;-     &quot;_);_(@_)"/>
    <numFmt numFmtId="232" formatCode="0.0&quot; &quot;\ "/>
    <numFmt numFmtId="233" formatCode="_._.* #,##0.0_)_%;_._.* \(#,##0.0\)_%"/>
    <numFmt numFmtId="234" formatCode="_._.* #,##0.00_)_%;_._.* \(#,##0.00\)_%"/>
    <numFmt numFmtId="235" formatCode="_._.* #,##0.000_)_%;_._.* \(#,##0.000\)_%"/>
    <numFmt numFmtId="236" formatCode="_._.* #,##0.0000_)_%;_._.* \(#,##0.0000\)_%"/>
    <numFmt numFmtId="237" formatCode="#,##0;\(#,##0\)"/>
    <numFmt numFmtId="238" formatCode="0.0"/>
    <numFmt numFmtId="239" formatCode="#,##0.0,,_);\(#,##0.0,,\)"/>
    <numFmt numFmtId="240" formatCode="_(* #,###.0,_);_(* \(#,###.0,\);_(* &quot;—&quot;?_);_(@_)"/>
    <numFmt numFmtId="241" formatCode="_(* #,###.00,_);_(* \(#,###.00,\);_(* &quot;—&quot;??_);_(@_)"/>
    <numFmt numFmtId="242" formatCode="_(* #,###.0,,_);_(* \(#,###.0,,\);_(* &quot;—&quot;?_);_(@_)"/>
    <numFmt numFmtId="243" formatCode="0%;\(0%\)"/>
    <numFmt numFmtId="244" formatCode="#,##0.0_);[Red]\(#,##0.0\);\ \-\ "/>
    <numFmt numFmtId="245" formatCode="#,##0.0"/>
    <numFmt numFmtId="246" formatCode="&quot;$&quot;#,##0.00_);[Red]\(&quot;$&quot;#,##0.00\);&quot;--  &quot;;_(@_)"/>
    <numFmt numFmtId="247" formatCode="_-&quot;$&quot;* \(#,##0\);_-&quot;$&quot;* #,##0_);_-&quot;$&quot;* &quot;-     &quot;_-;_-@_-"/>
    <numFmt numFmtId="248" formatCode="_(&quot;$&quot;* #,##0_);_(&quot;$&quot;* \(#,##0\);_(&quot;$&quot;* &quot;-     &quot;_);_(@_)"/>
    <numFmt numFmtId="249" formatCode="\(\ \)"/>
    <numFmt numFmtId="250" formatCode="_._.&quot;$&quot;* #,##0.0_)_%;_._.&quot;$&quot;* \(#,##0.0\)_%"/>
    <numFmt numFmtId="251" formatCode="_._.&quot;$&quot;* #,##0.00_)_%;_._.&quot;$&quot;* \(#,##0.00\)_%"/>
    <numFmt numFmtId="252" formatCode="_._.&quot;$&quot;* #,##0.000_)_%;_._.&quot;$&quot;* \(#,##0.000\)_%"/>
    <numFmt numFmtId="253" formatCode="_._.&quot;$&quot;* #,##0.0000_)_%;_._.&quot;$&quot;* \(#,##0.0000\)_%"/>
    <numFmt numFmtId="254" formatCode="&quot;$&quot;#,##0.0_);[Red]\(&quot;$&quot;#,##0.0\)"/>
    <numFmt numFmtId="255" formatCode="m/d/yy;@"/>
    <numFmt numFmtId="256" formatCode="_(&quot;$&quot;* #,###.0,_);_(&quot;$&quot;* \(#,###.0,\);_(&quot;$&quot;* &quot;—&quot;?_);_(@_)"/>
    <numFmt numFmtId="257" formatCode="&quot;$&quot;#,##0.00_)\ \ ;\(&quot;$&quot;#,##0.00\)\ \ "/>
    <numFmt numFmtId="258" formatCode="&quot;$&quot;#,##0.000_);&quot;$&quot;\(#,##0.000\)%"/>
    <numFmt numFmtId="259" formatCode="mm"/>
    <numFmt numFmtId="260" formatCode="#,##0.00\ \ ;\(#,##0.00\);"/>
    <numFmt numFmtId="261" formatCode="0.00000%"/>
    <numFmt numFmtId="262" formatCode="\ #,##0.000_);\(&quot;$&quot;#,##0.000\)"/>
    <numFmt numFmtId="263" formatCode="mm/dd/yy"/>
    <numFmt numFmtId="264" formatCode="#,##0.0_);\(#,##0.0\);&quot;-&quot;;@"/>
    <numFmt numFmtId="265" formatCode="mmm\-d\-yy"/>
    <numFmt numFmtId="266" formatCode="mmm\-d\-yyyy"/>
    <numFmt numFmtId="267" formatCode="mmm\-yyyy"/>
    <numFmt numFmtId="268" formatCode="ddd\ dd/mm/yy"/>
    <numFmt numFmtId="269" formatCode="_(* #,##0.0\x_);_(* \(#,##0.0\);_(* &quot;-&quot;??_);_(@_)"/>
    <numFmt numFmtId="270" formatCode="mmmm\ d\,\ yyyy"/>
    <numFmt numFmtId="271" formatCode="mmmm\ d"/>
    <numFmt numFmtId="272" formatCode="yyyy"/>
    <numFmt numFmtId="273" formatCode="#,##0.0;\(#,##0.0\)"/>
    <numFmt numFmtId="274" formatCode="_-* #,##0\ _D_M_-;\-* #,##0\ _D_M_-;_-* &quot;-&quot;\ _D_M_-;_-@_-"/>
    <numFmt numFmtId="275" formatCode="_-* #,##0.00\ _D_M_-;\-* #,##0.00\ _D_M_-;_-* &quot;-&quot;??\ _D_M_-;_-@_-"/>
    <numFmt numFmtId="276" formatCode="_(* #,##0.0000_);_(* \(#,##0.0000\);_(* &quot;-&quot;??_);_(@_)"/>
    <numFmt numFmtId="277" formatCode="#,##0&quot;?&quot;_);[Red]\(#,##0&quot;?&quot;\)"/>
    <numFmt numFmtId="278" formatCode="#,##0.00000000000;[Red]\-#,##0.00000000000"/>
    <numFmt numFmtId="279" formatCode="&quot;$&quot;\ #,##0;[Red]&quot;$&quot;\ \(#,##0\);&quot;$&quot;\ 0"/>
    <numFmt numFmtId="280" formatCode="&quot;$&quot;#,##0_);\(&quot;$&quot;#,##0\);\-\-_)"/>
    <numFmt numFmtId="281" formatCode="&quot;$&quot;#,##0.0_);\(&quot;$&quot;#,##0.0\);\-\-_)"/>
    <numFmt numFmtId="282" formatCode="&quot;$&quot;#,##0.00_);\(&quot;$&quot;#,##0.00\);\-\-_)"/>
    <numFmt numFmtId="283" formatCode="#,##0.0\ ;\(#,##0.0\)"/>
    <numFmt numFmtId="284" formatCode="0.00%;[Red]\(0.00%\)"/>
    <numFmt numFmtId="285" formatCode="[Blue]d/m/yyyy"/>
    <numFmt numFmtId="286" formatCode="ddd\ dd\-mmm\-yy"/>
    <numFmt numFmtId="287" formatCode="_([$€-2]* #,##0.00_);_([$€-2]* \(#,##0.00\);_([$€-2]* &quot;-&quot;??_)"/>
    <numFmt numFmtId="288" formatCode="&quot;E&quot;\ #,##0;[Red]&quot;E&quot;\ \(#,##0\);&quot;E&quot;\ 0"/>
    <numFmt numFmtId="289" formatCode="0&quot;%&quot;_);\(0&quot;%&quot;\)"/>
    <numFmt numFmtId="290" formatCode="0.0&quot;%&quot;_);\(0.0&quot;%&quot;\)"/>
    <numFmt numFmtId="291" formatCode="0.00&quot;%&quot;_);\(0.00&quot;%&quot;\)"/>
    <numFmt numFmtId="292" formatCode="_(&quot;$&quot;* #,##0,_);_(&quot;$&quot;* \(#,##0,\);_(&quot;$&quot;* &quot;-&quot;_);_(@_)"/>
    <numFmt numFmtId="293" formatCode="###0_);\(###0\)"/>
    <numFmt numFmtId="294" formatCode="0.0000"/>
    <numFmt numFmtId="295" formatCode="ddd\-dd\-mmm\-yy"/>
    <numFmt numFmtId="296" formatCode="0.00%_);[Red]\(0.00%\)"/>
    <numFmt numFmtId="297" formatCode="0.0_x"/>
    <numFmt numFmtId="298" formatCode="_(#,##0_);\(#,##0\)"/>
    <numFmt numFmtId="299" formatCode="&quot;$&quot;#,##0.0_)\ \ ;\(&quot;$&quot;#,##0.0\)\ \ "/>
    <numFmt numFmtId="300" formatCode="0.0\ \x\ \ \ \ ;&quot;NM      &quot;;\ 0.0\ \x\ \ \ \ "/>
    <numFmt numFmtId="301" formatCode="0.0%_)\ \ ;\(0.0%\)\ \ "/>
    <numFmt numFmtId="302" formatCode="#,##0.000;\(#,##0.000\)"/>
    <numFmt numFmtId="303" formatCode="0.0%;[Red]\(0.0%\);&quot;--  &quot;"/>
    <numFmt numFmtId="304" formatCode="_(* #,##0.0_);[Red]_(* \(#,##0.0\);&quot;nm &quot;"/>
    <numFmt numFmtId="305" formatCode="_ * #,##0_ ;_ * \-#,##0_ ;_ * &quot;-&quot;_ ;_ @_ "/>
    <numFmt numFmtId="306" formatCode="_ * #,##0.00_ ;_ * \-#,##0.00_ ;_ * &quot;-&quot;??_ ;_ @_ "/>
    <numFmt numFmtId="307" formatCode="_-* #,##0\ _F_-;\-* #,##0\ _F_-;_-* &quot;-&quot;\ _F_-;_-@_-"/>
    <numFmt numFmtId="308" formatCode="_-* #,##0.00\ &quot;F&quot;_-;\-* #,##0.00\ &quot;F&quot;_-;_-* &quot;-&quot;??\ &quot;F&quot;_-;_-@_-"/>
    <numFmt numFmtId="309" formatCode="_(* #,##0,,_);_(* \(#,##0,,\);_(* &quot;–&quot;?_);* _(@_)"/>
    <numFmt numFmtId="310" formatCode="#,##0.0,_);\(#,##0.0,\)"/>
    <numFmt numFmtId="311" formatCode="_(* #,##0.0,,_);_(* \(#,##0.0,,\);_(* &quot;-&quot;?_);_(@_)"/>
    <numFmt numFmtId="312" formatCode="_ &quot;S/&quot;* #,##0_ ;_ &quot;S/&quot;* \-#,##0_ ;_ &quot;S/&quot;* &quot;-&quot;_ ;_ @_ "/>
    <numFmt numFmtId="313" formatCode="_ &quot;S/&quot;* #,##0.00_ ;_ &quot;S/&quot;* \-#,##0.00_ ;_ &quot;S/&quot;* &quot;-&quot;??_ ;_ @_ "/>
    <numFmt numFmtId="314" formatCode="_-* #,##0\ &quot;F&quot;_-;\-* #,##0\ &quot;F&quot;_-;_-* &quot;-&quot;\ &quot;F&quot;_-;_-@_-"/>
    <numFmt numFmtId="315" formatCode="mmmm\ yyyy"/>
    <numFmt numFmtId="316" formatCode="_(0.0\x_);[Red]_(\ \(0.0\x\)"/>
    <numFmt numFmtId="317" formatCode="0.0&quot;x&quot;_);\(0.0&quot;x&quot;\)"/>
    <numFmt numFmtId="318" formatCode="0.00&quot;x&quot;_);\(0.00&quot;x&quot;\)"/>
    <numFmt numFmtId="319" formatCode="#,##0.0_);[Red]\(#,##0.0\);&quot;N/A &quot;"/>
    <numFmt numFmtId="320" formatCode="0.0_x_);\(0.0\)_x"/>
    <numFmt numFmtId="321" formatCode="0.00_x_);\(0.00\)_x"/>
    <numFmt numFmtId="322" formatCode="0_%_);\(0\)_%"/>
    <numFmt numFmtId="323" formatCode="0.0_%_);\(0.0\)_%"/>
    <numFmt numFmtId="324" formatCode="0.00_%_);\(0.00\)_%"/>
    <numFmt numFmtId="325" formatCode="#,##0.0_);[Red]\(#,##0.0\);&quot;--  &quot;"/>
    <numFmt numFmtId="326" formatCode="&quot;Rp&quot;\ #,##0_);\(&quot;Rp&quot;\ #,##0\)"/>
    <numFmt numFmtId="327" formatCode="#,##0.0_)\ \ ;[Red]\(#,##0.0\)\ \ "/>
    <numFmt numFmtId="328" formatCode="_(* #,##0.000000000000000_);_(* \(#,##0.000000000000000\);_(* &quot;-&quot;_);_(@_)"/>
    <numFmt numFmtId="329" formatCode="_(* #,##0.0000000000000000_);_(* \(#,##0.0000000000000000\);_(* &quot;-&quot;_);_(@_)"/>
    <numFmt numFmtId="330" formatCode="0_);[Red]\(0\)"/>
    <numFmt numFmtId="331" formatCode="_(* #,##0.0000000000_);_(* \(#,##0.0000000000\);_(* &quot;-&quot;_);_(@_)"/>
    <numFmt numFmtId="332" formatCode="_(* #,##0.0000000000000_);_(* \(#,##0.0000000000000\);_(* &quot;-&quot;_);_(@_)"/>
    <numFmt numFmtId="333" formatCode="_(* #,##0.00000000_);_(* \(#,##0.00000000\);_(* &quot;-&quot;_);_(@_)"/>
    <numFmt numFmtId="334" formatCode="_(* #,##0.0000000000000000000_);_(* \(#,##0.0000000000000000000\);_(* &quot;-&quot;_);_(@_)"/>
    <numFmt numFmtId="335" formatCode="#,##0.00&quot;x&quot;;[Red]\(#,##0.00&quot;x&quot;\)"/>
    <numFmt numFmtId="336" formatCode="#,##0.00_)&quot; &quot;;[Red]\(#,##0.00\)&quot; &quot;"/>
    <numFmt numFmtId="337" formatCode="_(* #,##0_);_(* \(#,##0\);_(* &quot;-&quot;??_);_(@_)"/>
    <numFmt numFmtId="338" formatCode="0.0%&quot;NetPPE/sales&quot;"/>
    <numFmt numFmtId="339" formatCode="#,##0_);\(#,##0\);\-\-_)"/>
    <numFmt numFmtId="340" formatCode="#,##0.0_);\(#,##0.0\);\-\-_)"/>
    <numFmt numFmtId="341" formatCode="#,##0.00_);\(#,##0.00\);\-\-_)"/>
    <numFmt numFmtId="342" formatCode="#,##0.00;\-#,##0.00"/>
    <numFmt numFmtId="343" formatCode="0.000000_);\(0.000000\)"/>
    <numFmt numFmtId="344" formatCode="0.0%&quot;NWI/Sls&quot;"/>
    <numFmt numFmtId="345" formatCode="#,##0.000000"/>
    <numFmt numFmtId="346" formatCode="0;;"/>
    <numFmt numFmtId="347" formatCode="0.0%;\(0.0%\)"/>
    <numFmt numFmtId="348" formatCode="_(0_)%;\(0\)%"/>
    <numFmt numFmtId="349" formatCode="_._._(* 0_)%;_._.* \(0\)%"/>
    <numFmt numFmtId="350" formatCode="_(* #,##0%_);_(* \(#,##0%\);_(* &quot;-&quot;_);_(@_)"/>
    <numFmt numFmtId="351" formatCode="0%_);\(0%\)"/>
    <numFmt numFmtId="352" formatCode="_-* #,##0&quot;RUB&quot;_-;\-* #,##0&quot;RUB&quot;_-;_-* &quot;-&quot;&quot;RUB&quot;_-;_-@_-"/>
    <numFmt numFmtId="353" formatCode="0.0%;[Red]\(0.0%\)"/>
    <numFmt numFmtId="354" formatCode="#,##0.0\%_);\(#,##0.0\%\);#,##0.0\%_);@_)"/>
    <numFmt numFmtId="355" formatCode="_(* #,##0.0%_);_(* \(#,##0.0%\);_(* &quot;-&quot;??_);_(@_)"/>
    <numFmt numFmtId="356" formatCode="_(* #.00%_);_(* \(#.00%\);_(* &quot;—&quot;_%_);_(@_)"/>
    <numFmt numFmtId="357" formatCode="&quot;Printed: &quot;d\ mmm\ yyyy"/>
    <numFmt numFmtId="358" formatCode="_-&quot;£&quot;* #,##0.00_-;\-&quot;£&quot;* #,##0.00_-;_-&quot;£&quot;* &quot;-&quot;??_-;_-@_-"/>
    <numFmt numFmtId="359" formatCode="#,##0,,_);\(#,##0,,\)"/>
  </numFmts>
  <fonts count="236">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color rgb="FF000000"/>
      <name val="Tahoma"/>
      <family val="2"/>
    </font>
    <font>
      <sz val="10"/>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font>
    <font>
      <sz val="18"/>
      <color theme="3"/>
      <name val="Cambria"/>
      <family val="2"/>
      <scheme val="major"/>
    </font>
    <font>
      <sz val="10"/>
      <color theme="1"/>
      <name val="Calibri"/>
      <family val="2"/>
      <scheme val="minor"/>
    </font>
    <font>
      <sz val="10"/>
      <name val="Times New Roman"/>
      <family val="1"/>
    </font>
    <font>
      <sz val="10"/>
      <name val="Helv"/>
      <charset val="204"/>
    </font>
    <font>
      <sz val="10"/>
      <color indexed="8"/>
      <name val="MS Sans Serif"/>
      <family val="2"/>
    </font>
    <font>
      <b/>
      <sz val="10"/>
      <name val="MS Sans Serif"/>
      <family val="2"/>
    </font>
    <font>
      <sz val="10"/>
      <name val="바탕체"/>
      <family val="1"/>
      <charset val="129"/>
    </font>
    <font>
      <sz val="10"/>
      <name val="GillSans"/>
      <family val="2"/>
    </font>
    <font>
      <sz val="8"/>
      <color indexed="49"/>
      <name val="Times New Roman"/>
      <family val="1"/>
    </font>
    <font>
      <sz val="10"/>
      <name val="Helvetica"/>
      <family val="2"/>
    </font>
    <font>
      <sz val="11"/>
      <color indexed="8"/>
      <name val="MS P????"/>
      <family val="3"/>
    </font>
    <font>
      <sz val="11"/>
      <name val="Times New Roman"/>
      <family val="1"/>
    </font>
    <font>
      <u/>
      <sz val="8.4"/>
      <color indexed="12"/>
      <name val="Arial"/>
      <family val="2"/>
    </font>
    <font>
      <sz val="11"/>
      <name val="MS P????"/>
      <family val="3"/>
      <charset val="128"/>
    </font>
    <font>
      <sz val="12"/>
      <name val="Times New Roman"/>
      <family val="1"/>
    </font>
    <font>
      <b/>
      <u/>
      <sz val="10"/>
      <name val="Courier"/>
      <family val="3"/>
    </font>
    <font>
      <sz val="10"/>
      <name val="Helv"/>
      <family val="2"/>
    </font>
    <font>
      <sz val="10"/>
      <name val="Helv"/>
    </font>
    <font>
      <sz val="10"/>
      <name val="MS Sans Serif"/>
      <family val="2"/>
    </font>
    <font>
      <sz val="10"/>
      <name val="Courier"/>
      <family val="3"/>
    </font>
    <font>
      <sz val="8"/>
      <color indexed="8"/>
      <name val="Arial"/>
      <family val="2"/>
    </font>
    <font>
      <sz val="8"/>
      <name val="Tahoma"/>
      <family val="2"/>
    </font>
    <font>
      <b/>
      <sz val="10"/>
      <name val="Arial"/>
      <family val="2"/>
    </font>
    <font>
      <sz val="9"/>
      <name val="ＭＳ 明朝"/>
      <family val="1"/>
      <charset val="128"/>
    </font>
    <font>
      <b/>
      <sz val="22"/>
      <color indexed="18"/>
      <name val="Arial"/>
      <family val="2"/>
    </font>
    <font>
      <sz val="10"/>
      <color indexed="8"/>
      <name val="Arial"/>
      <family val="2"/>
    </font>
    <font>
      <sz val="9"/>
      <color indexed="8"/>
      <name val="Arial"/>
      <family val="2"/>
    </font>
    <font>
      <b/>
      <sz val="14"/>
      <color indexed="18"/>
      <name val="Arial"/>
      <family val="2"/>
    </font>
    <font>
      <b/>
      <sz val="10"/>
      <color indexed="18"/>
      <name val="Arial"/>
      <family val="2"/>
    </font>
    <font>
      <b/>
      <u val="singleAccounting"/>
      <sz val="10"/>
      <color indexed="18"/>
      <name val="Arial"/>
      <family val="2"/>
    </font>
    <font>
      <b/>
      <sz val="10"/>
      <name val="Trebuchet MS"/>
      <family val="2"/>
    </font>
    <font>
      <sz val="8"/>
      <name val="Arial"/>
      <family val="2"/>
    </font>
    <font>
      <sz val="10"/>
      <color indexed="10"/>
      <name val="Arial"/>
      <family val="2"/>
    </font>
    <font>
      <b/>
      <sz val="9"/>
      <color indexed="9"/>
      <name val="Trebuchet MS"/>
      <family val="2"/>
    </font>
    <font>
      <sz val="9"/>
      <color indexed="8"/>
      <name val="Trebuchet MS"/>
      <family val="2"/>
    </font>
    <font>
      <sz val="14"/>
      <name val="Tms Rmn"/>
    </font>
    <font>
      <i/>
      <sz val="8"/>
      <color indexed="12"/>
      <name val="Times New Roman"/>
      <family val="1"/>
    </font>
    <font>
      <sz val="10"/>
      <color theme="0"/>
      <name val="Calibri"/>
      <family val="2"/>
      <scheme val="minor"/>
    </font>
    <font>
      <sz val="12"/>
      <name val="Arial MT"/>
    </font>
    <font>
      <sz val="12"/>
      <name val="Helv"/>
    </font>
    <font>
      <sz val="10"/>
      <name val="Univers (WN)"/>
      <family val="2"/>
    </font>
    <font>
      <sz val="8"/>
      <name val="Arial Narrow"/>
      <family val="2"/>
    </font>
    <font>
      <b/>
      <sz val="8"/>
      <name val="Arial"/>
      <family val="2"/>
    </font>
    <font>
      <sz val="10"/>
      <name val="Geneva"/>
      <family val="2"/>
    </font>
    <font>
      <sz val="8"/>
      <name val="Times New Roman"/>
      <family val="1"/>
    </font>
    <font>
      <sz val="8"/>
      <color indexed="45"/>
      <name val="Trebuchet MS"/>
      <family val="2"/>
    </font>
    <font>
      <sz val="9"/>
      <name val="Times New Roman"/>
      <family val="1"/>
    </font>
    <font>
      <b/>
      <i/>
      <sz val="10"/>
      <name val="Arial"/>
      <family val="2"/>
    </font>
    <font>
      <b/>
      <sz val="8"/>
      <color indexed="8"/>
      <name val="Arial"/>
      <family val="2"/>
    </font>
    <font>
      <sz val="8"/>
      <color indexed="12"/>
      <name val="Tms Rmn"/>
    </font>
    <font>
      <b/>
      <sz val="8"/>
      <color indexed="12"/>
      <name val="Arial"/>
      <family val="2"/>
    </font>
    <font>
      <sz val="12"/>
      <name val="Tms Rmn"/>
    </font>
    <font>
      <sz val="24"/>
      <name val="Helv"/>
    </font>
    <font>
      <b/>
      <sz val="12"/>
      <name val="Times New Roman"/>
      <family val="1"/>
    </font>
    <font>
      <b/>
      <u/>
      <sz val="8"/>
      <name val="CG Times (WN)"/>
    </font>
    <font>
      <b/>
      <sz val="10"/>
      <name val="Arial Narrow"/>
      <family val="2"/>
    </font>
    <font>
      <sz val="8"/>
      <name val="CG Times (E1)"/>
    </font>
    <font>
      <sz val="10"/>
      <name val="Trebuchet MS"/>
      <family val="2"/>
    </font>
    <font>
      <sz val="9"/>
      <name val="Trebuchet MS"/>
      <family val="2"/>
    </font>
    <font>
      <sz val="10"/>
      <name val="Arial MT"/>
    </font>
    <font>
      <b/>
      <i/>
      <sz val="12"/>
      <name val="Times New Roman"/>
      <family val="1"/>
    </font>
    <font>
      <i/>
      <sz val="8"/>
      <color indexed="12"/>
      <name val="Arial"/>
      <family val="2"/>
    </font>
    <font>
      <sz val="10"/>
      <color indexed="9"/>
      <name val="Helv"/>
    </font>
    <font>
      <b/>
      <sz val="10"/>
      <color indexed="8"/>
      <name val="Times New Roman"/>
      <family val="1"/>
    </font>
    <font>
      <b/>
      <i/>
      <sz val="14"/>
      <name val="Arial"/>
      <family val="2"/>
    </font>
    <font>
      <b/>
      <sz val="14"/>
      <name val="Arial"/>
      <family val="2"/>
    </font>
    <font>
      <b/>
      <sz val="24"/>
      <name val="Arial Narrow"/>
      <family val="2"/>
    </font>
    <font>
      <b/>
      <i/>
      <sz val="12"/>
      <name val="Arial"/>
      <family val="2"/>
    </font>
    <font>
      <b/>
      <sz val="12"/>
      <name val="Arial"/>
      <family val="2"/>
    </font>
    <font>
      <i/>
      <sz val="12"/>
      <name val="Arial"/>
      <family val="2"/>
    </font>
    <font>
      <sz val="12"/>
      <name val="Arial"/>
      <family val="2"/>
    </font>
    <font>
      <i/>
      <sz val="10"/>
      <name val="Arial"/>
      <family val="2"/>
    </font>
    <font>
      <sz val="12"/>
      <color indexed="18"/>
      <name val="Times New Roman"/>
      <family val="1"/>
    </font>
    <font>
      <i/>
      <sz val="10"/>
      <color indexed="18"/>
      <name val="Arial"/>
      <family val="2"/>
    </font>
    <font>
      <sz val="10"/>
      <color indexed="18"/>
      <name val="Arial"/>
      <family val="2"/>
    </font>
    <font>
      <i/>
      <sz val="9"/>
      <color indexed="18"/>
      <name val="Arial"/>
      <family val="2"/>
    </font>
    <font>
      <sz val="9"/>
      <color indexed="18"/>
      <name val="Arial"/>
      <family val="2"/>
    </font>
    <font>
      <sz val="9"/>
      <color indexed="8"/>
      <name val="Tahoma"/>
      <family val="2"/>
    </font>
    <font>
      <b/>
      <sz val="8"/>
      <name val="Times New Roman"/>
      <family val="1"/>
    </font>
    <font>
      <sz val="8"/>
      <name val="Tms Rmn"/>
    </font>
    <font>
      <sz val="10"/>
      <color indexed="18"/>
      <name val="Times New Roman"/>
      <family val="1"/>
    </font>
    <font>
      <sz val="9"/>
      <name val="Arial Narrow"/>
      <family val="2"/>
    </font>
    <font>
      <b/>
      <i/>
      <sz val="8"/>
      <name val="Arial"/>
      <family val="2"/>
    </font>
    <font>
      <b/>
      <sz val="9"/>
      <color indexed="12"/>
      <name val="Arial"/>
      <family val="2"/>
    </font>
    <font>
      <b/>
      <sz val="8"/>
      <name val="Book Antiqua"/>
      <family val="1"/>
    </font>
    <font>
      <sz val="10"/>
      <color indexed="12"/>
      <name val="Times New Roman"/>
      <family val="1"/>
    </font>
    <font>
      <sz val="10"/>
      <color indexed="11"/>
      <name val="Times New Roman"/>
      <family val="1"/>
    </font>
    <font>
      <sz val="10"/>
      <color indexed="10"/>
      <name val="Times New Roman"/>
      <family val="1"/>
    </font>
    <font>
      <b/>
      <i/>
      <u val="singleAccounting"/>
      <sz val="10"/>
      <color indexed="12"/>
      <name val="Tahoma"/>
      <family val="2"/>
    </font>
    <font>
      <sz val="11"/>
      <name val="Tms Rmn"/>
    </font>
    <font>
      <b/>
      <i/>
      <sz val="8"/>
      <color indexed="19"/>
      <name val="Arial"/>
      <family val="2"/>
    </font>
    <font>
      <u val="singleAccounting"/>
      <sz val="10"/>
      <name val="Times New Roman"/>
      <family val="1"/>
    </font>
    <font>
      <sz val="8"/>
      <name val="Palatino"/>
      <family val="1"/>
    </font>
    <font>
      <sz val="10"/>
      <color theme="1"/>
      <name val="Arial"/>
      <family val="2"/>
    </font>
    <font>
      <sz val="11"/>
      <color indexed="8"/>
      <name val="Calibri"/>
      <family val="2"/>
      <scheme val="minor"/>
    </font>
    <font>
      <b/>
      <sz val="12"/>
      <name val="Geneva"/>
      <family val="2"/>
    </font>
    <font>
      <sz val="10"/>
      <name val="BERNHARD"/>
    </font>
    <font>
      <sz val="10"/>
      <color indexed="24"/>
      <name val="Arial"/>
      <family val="2"/>
    </font>
    <font>
      <sz val="8"/>
      <color indexed="16"/>
      <name val="MS Sans Serif"/>
      <family val="2"/>
    </font>
    <font>
      <sz val="24"/>
      <name val="MS Sans Serif"/>
      <family val="2"/>
    </font>
    <font>
      <b/>
      <sz val="13"/>
      <name val="Arial"/>
      <family val="2"/>
    </font>
    <font>
      <b/>
      <sz val="11"/>
      <name val="Times New Roman"/>
      <family val="1"/>
    </font>
    <font>
      <sz val="10"/>
      <name val="MS Serif"/>
      <family val="1"/>
    </font>
    <font>
      <sz val="9"/>
      <color indexed="8"/>
      <name val="Helv"/>
    </font>
    <font>
      <b/>
      <sz val="10"/>
      <color indexed="8"/>
      <name val="Helv"/>
    </font>
    <font>
      <sz val="10"/>
      <name val="France"/>
    </font>
    <font>
      <b/>
      <sz val="8"/>
      <name val="Helv"/>
    </font>
    <font>
      <sz val="10"/>
      <name val="TimesNewRomanPS"/>
    </font>
    <font>
      <sz val="11"/>
      <color indexed="12"/>
      <name val="Book Antiqua"/>
      <family val="1"/>
    </font>
    <font>
      <b/>
      <sz val="14"/>
      <name val="Tms Rmn"/>
    </font>
    <font>
      <b/>
      <sz val="8"/>
      <color indexed="21"/>
      <name val="Arial"/>
      <family val="2"/>
    </font>
    <font>
      <b/>
      <u/>
      <sz val="9"/>
      <color indexed="21"/>
      <name val="Arial"/>
      <family val="2"/>
    </font>
    <font>
      <i/>
      <sz val="8"/>
      <color indexed="21"/>
      <name val="Arial"/>
      <family val="2"/>
    </font>
    <font>
      <sz val="8"/>
      <color indexed="12"/>
      <name val="Arial"/>
      <family val="2"/>
    </font>
    <font>
      <b/>
      <u/>
      <sz val="8"/>
      <color indexed="8"/>
      <name val="Times New Roman"/>
      <family val="1"/>
    </font>
    <font>
      <i/>
      <sz val="8"/>
      <name val="Arial"/>
      <family val="2"/>
    </font>
    <font>
      <sz val="1"/>
      <color indexed="8"/>
      <name val="Courier"/>
      <family val="3"/>
    </font>
    <font>
      <b/>
      <sz val="10"/>
      <name val="Tahoma"/>
      <family val="2"/>
    </font>
    <font>
      <sz val="10"/>
      <color indexed="48"/>
      <name val="Arial"/>
      <family val="2"/>
    </font>
    <font>
      <sz val="9"/>
      <color indexed="12"/>
      <name val="Times New Roman"/>
      <family val="1"/>
    </font>
    <font>
      <sz val="9"/>
      <name val="Arial"/>
      <family val="2"/>
    </font>
    <font>
      <i/>
      <sz val="12"/>
      <name val="Helv"/>
    </font>
    <font>
      <b/>
      <sz val="1"/>
      <color indexed="8"/>
      <name val="Courier"/>
      <family val="3"/>
    </font>
    <font>
      <sz val="10"/>
      <color indexed="16"/>
      <name val="MS Serif"/>
      <family val="1"/>
    </font>
    <font>
      <b/>
      <sz val="8"/>
      <color indexed="9"/>
      <name val="Times New Roman"/>
      <family val="1"/>
    </font>
    <font>
      <sz val="10"/>
      <color indexed="12"/>
      <name val="Arial"/>
      <family val="2"/>
    </font>
    <font>
      <sz val="10"/>
      <color indexed="16"/>
      <name val="Arial"/>
      <family val="2"/>
    </font>
    <font>
      <sz val="10"/>
      <color indexed="22"/>
      <name val="Arial"/>
      <family val="2"/>
    </font>
    <font>
      <sz val="8"/>
      <color indexed="18"/>
      <name val="Arial"/>
      <family val="2"/>
    </font>
    <font>
      <b/>
      <sz val="12"/>
      <color indexed="10"/>
      <name val="Tms Rmn"/>
    </font>
    <font>
      <sz val="8"/>
      <color indexed="16"/>
      <name val="Helv"/>
    </font>
    <font>
      <u/>
      <sz val="12"/>
      <color indexed="36"/>
      <name val="Arial"/>
      <family val="2"/>
    </font>
    <font>
      <sz val="7"/>
      <name val="Arial"/>
      <family val="2"/>
    </font>
    <font>
      <sz val="8"/>
      <name val="Helv"/>
    </font>
    <font>
      <sz val="8"/>
      <color indexed="8"/>
      <name val="Helvetica"/>
      <family val="2"/>
    </font>
    <font>
      <b/>
      <i/>
      <sz val="8"/>
      <color indexed="23"/>
      <name val="Arial"/>
      <family val="2"/>
    </font>
    <font>
      <b/>
      <sz val="8"/>
      <color indexed="17"/>
      <name val="Arial"/>
      <family val="2"/>
    </font>
    <font>
      <sz val="8"/>
      <color indexed="22"/>
      <name val="Arial"/>
      <family val="2"/>
    </font>
    <font>
      <sz val="8"/>
      <color indexed="17"/>
      <name val="Times New Roman"/>
      <family val="1"/>
    </font>
    <font>
      <sz val="9"/>
      <color indexed="18"/>
      <name val="Tahoma"/>
      <family val="2"/>
    </font>
    <font>
      <b/>
      <sz val="16"/>
      <name val="Times New Roman"/>
      <family val="1"/>
    </font>
    <font>
      <b/>
      <u/>
      <sz val="11"/>
      <color indexed="37"/>
      <name val="Arial"/>
      <family val="2"/>
    </font>
    <font>
      <b/>
      <sz val="8"/>
      <name val="Palatino"/>
      <family val="1"/>
    </font>
    <font>
      <b/>
      <sz val="8"/>
      <name val="MS Sans Serif"/>
      <family val="2"/>
    </font>
    <font>
      <b/>
      <u/>
      <sz val="18"/>
      <name val="Arial"/>
      <family val="2"/>
    </font>
    <font>
      <b/>
      <sz val="10"/>
      <name val="Helv"/>
    </font>
    <font>
      <i/>
      <u/>
      <sz val="9"/>
      <color indexed="12"/>
      <name val="Times New Roman"/>
      <family val="1"/>
    </font>
    <font>
      <u/>
      <sz val="12"/>
      <color indexed="12"/>
      <name val="Arial"/>
      <family val="2"/>
    </font>
    <font>
      <sz val="10"/>
      <color indexed="17"/>
      <name val="Helvetica"/>
      <family val="2"/>
    </font>
    <font>
      <b/>
      <sz val="10"/>
      <color indexed="8"/>
      <name val="Geneva"/>
      <family val="2"/>
    </font>
    <font>
      <sz val="10"/>
      <color indexed="12"/>
      <name val="Geneva"/>
      <family val="2"/>
    </font>
    <font>
      <sz val="8"/>
      <color indexed="39"/>
      <name val="Arial"/>
      <family val="2"/>
    </font>
    <font>
      <sz val="8"/>
      <color indexed="12"/>
      <name val="Palatino"/>
      <family val="1"/>
    </font>
    <font>
      <i/>
      <sz val="8"/>
      <name val="Times New Roman"/>
      <family val="1"/>
    </font>
    <font>
      <u/>
      <sz val="10"/>
      <color indexed="12"/>
      <name val="Arial"/>
      <family val="2"/>
    </font>
    <font>
      <u/>
      <sz val="7.5"/>
      <color indexed="36"/>
      <name val="Arial"/>
      <family val="2"/>
    </font>
    <font>
      <b/>
      <sz val="10"/>
      <name val="Palatino"/>
      <family val="1"/>
    </font>
    <font>
      <sz val="9"/>
      <color indexed="12"/>
      <name val="Arial"/>
      <family val="2"/>
    </font>
    <font>
      <sz val="12"/>
      <color indexed="9"/>
      <name val="Helv"/>
    </font>
    <font>
      <sz val="9"/>
      <color indexed="17"/>
      <name val="Tahoma"/>
      <family val="2"/>
    </font>
    <font>
      <sz val="9"/>
      <color indexed="20"/>
      <name val="Tahoma"/>
      <family val="2"/>
    </font>
    <font>
      <sz val="12"/>
      <color indexed="14"/>
      <name val="Arial"/>
      <family val="2"/>
    </font>
    <font>
      <sz val="8"/>
      <color indexed="18"/>
      <name val="Times New Roman"/>
      <family val="1"/>
    </font>
    <font>
      <sz val="10"/>
      <name val="Tahoma"/>
      <family val="2"/>
    </font>
    <font>
      <sz val="9"/>
      <color indexed="10"/>
      <name val="Arial Narrow"/>
      <family val="2"/>
    </font>
    <font>
      <sz val="10"/>
      <color indexed="17"/>
      <name val="Arial"/>
      <family val="2"/>
    </font>
    <font>
      <sz val="7"/>
      <name val="Small Fonts"/>
      <family val="2"/>
    </font>
    <font>
      <sz val="11"/>
      <color indexed="8"/>
      <name val="Calibri"/>
      <family val="2"/>
    </font>
    <font>
      <sz val="10"/>
      <color rgb="FF000000"/>
      <name val="Times New Roman"/>
      <family val="1"/>
    </font>
    <font>
      <b/>
      <sz val="10"/>
      <name val="Helvetica"/>
      <family val="2"/>
    </font>
    <font>
      <sz val="8"/>
      <name val="Helvetica"/>
      <family val="2"/>
    </font>
    <font>
      <sz val="12"/>
      <color indexed="8"/>
      <name val="Tms Rmn"/>
    </font>
    <font>
      <sz val="12"/>
      <color indexed="48"/>
      <name val="Times New Roman"/>
      <family val="1"/>
    </font>
    <font>
      <sz val="6"/>
      <name val="Courier New"/>
      <family val="3"/>
    </font>
    <font>
      <sz val="10"/>
      <name val="Garamond"/>
      <family val="1"/>
    </font>
    <font>
      <sz val="8"/>
      <name val="Book Antiqua"/>
      <family val="1"/>
    </font>
    <font>
      <sz val="11"/>
      <name val="‚l‚r –¾’©"/>
      <charset val="128"/>
    </font>
    <font>
      <b/>
      <sz val="13.5"/>
      <name val="MS Sans Serif"/>
      <family val="2"/>
    </font>
    <font>
      <b/>
      <i/>
      <sz val="10"/>
      <color indexed="8"/>
      <name val="Arial"/>
      <family val="2"/>
    </font>
    <font>
      <b/>
      <sz val="10"/>
      <color indexed="9"/>
      <name val="Arial"/>
      <family val="2"/>
    </font>
    <font>
      <sz val="10"/>
      <color indexed="14"/>
      <name val="Geneva"/>
      <family val="2"/>
    </font>
    <font>
      <i/>
      <sz val="8"/>
      <color indexed="8"/>
      <name val="Helv"/>
      <family val="2"/>
    </font>
    <font>
      <b/>
      <sz val="10"/>
      <color indexed="17"/>
      <name val="Arial"/>
      <family val="2"/>
    </font>
    <font>
      <b/>
      <sz val="10"/>
      <color indexed="13"/>
      <name val="Arial"/>
      <family val="2"/>
    </font>
    <font>
      <b/>
      <sz val="26"/>
      <name val="Times New Roman"/>
      <family val="1"/>
    </font>
    <font>
      <b/>
      <sz val="18"/>
      <name val="Times New Roman"/>
      <family val="1"/>
    </font>
    <font>
      <b/>
      <sz val="14"/>
      <name val="Geneva"/>
      <family val="2"/>
    </font>
    <font>
      <sz val="12"/>
      <color indexed="8"/>
      <name val="Arial"/>
      <family val="2"/>
    </font>
    <font>
      <b/>
      <sz val="10"/>
      <name val="Times New Roman"/>
      <family val="1"/>
    </font>
    <font>
      <b/>
      <sz val="8"/>
      <color indexed="10"/>
      <name val="Arial"/>
      <family val="2"/>
    </font>
    <font>
      <sz val="8"/>
      <name val="Wingdings"/>
      <charset val="2"/>
    </font>
    <font>
      <sz val="8"/>
      <name val="MS Sans Serif"/>
      <family val="2"/>
    </font>
    <font>
      <b/>
      <i/>
      <u/>
      <sz val="12"/>
      <name val="Arial"/>
      <family val="2"/>
    </font>
    <font>
      <sz val="9"/>
      <name val="NewsGoth Lt BT"/>
      <family val="2"/>
    </font>
    <font>
      <sz val="9"/>
      <name val="NewsGoth Dm BT"/>
      <family val="2"/>
    </font>
    <font>
      <sz val="10"/>
      <name val="NewsGoth Dm BT"/>
      <family val="2"/>
    </font>
    <font>
      <b/>
      <sz val="12"/>
      <name val="NewsGoth BT"/>
      <family val="2"/>
    </font>
    <font>
      <sz val="9"/>
      <name val="NewsGoth BT"/>
      <family val="2"/>
    </font>
    <font>
      <sz val="7.5"/>
      <name val="NewsGoth Lt BT"/>
      <family val="2"/>
    </font>
    <font>
      <b/>
      <sz val="9"/>
      <name val="Arial"/>
      <family val="2"/>
    </font>
    <font>
      <sz val="7"/>
      <name val="Times New Roman"/>
      <family val="1"/>
    </font>
    <font>
      <b/>
      <sz val="8"/>
      <name val="CG Times (E1)"/>
    </font>
    <font>
      <b/>
      <u/>
      <sz val="9"/>
      <name val="Arial"/>
      <family val="2"/>
    </font>
    <font>
      <b/>
      <sz val="10"/>
      <name val="CG Times (WN)"/>
    </font>
    <font>
      <b/>
      <sz val="7"/>
      <name val="Arial"/>
      <family val="2"/>
    </font>
    <font>
      <b/>
      <sz val="8"/>
      <name val="CG Times (WN)"/>
    </font>
    <font>
      <sz val="10"/>
      <color indexed="8"/>
      <name val="Geneva"/>
      <family val="2"/>
    </font>
    <font>
      <sz val="10"/>
      <color rgb="FF000000"/>
      <name val="Arial"/>
      <family val="2"/>
    </font>
    <font>
      <b/>
      <sz val="11"/>
      <name val="Calibri"/>
      <family val="2"/>
      <scheme val="minor"/>
    </font>
    <font>
      <b/>
      <u/>
      <sz val="11"/>
      <name val="Calibri"/>
      <family val="2"/>
      <scheme val="minor"/>
    </font>
    <font>
      <b/>
      <sz val="14"/>
      <color rgb="FFFF0000"/>
      <name val="Calibri"/>
      <family val="2"/>
      <scheme val="minor"/>
    </font>
    <font>
      <b/>
      <sz val="11"/>
      <color rgb="FFFF0000"/>
      <name val="Calibri"/>
      <family val="2"/>
      <scheme val="minor"/>
    </font>
    <font>
      <b/>
      <sz val="12"/>
      <color rgb="FF000000"/>
      <name val="Calibri"/>
      <family val="2"/>
      <scheme val="minor"/>
    </font>
    <font>
      <sz val="10"/>
      <color rgb="FF000000"/>
      <name val="Calibri"/>
      <family val="2"/>
      <scheme val="minor"/>
    </font>
    <font>
      <sz val="11"/>
      <name val="Dialog"/>
    </font>
  </fonts>
  <fills count="92">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6"/>
        <bgColor indexed="64"/>
      </patternFill>
    </fill>
    <fill>
      <patternFill patternType="solid">
        <fgColor indexed="43"/>
      </patternFill>
    </fill>
    <fill>
      <patternFill patternType="solid">
        <fgColor indexed="18"/>
        <bgColor indexed="64"/>
      </patternFill>
    </fill>
    <fill>
      <patternFill patternType="solid">
        <fgColor indexed="22"/>
        <bgColor indexed="64"/>
      </patternFill>
    </fill>
    <fill>
      <patternFill patternType="solid">
        <fgColor indexed="9"/>
        <bgColor indexed="64"/>
      </patternFill>
    </fill>
    <fill>
      <patternFill patternType="solid">
        <fgColor indexed="44"/>
        <bgColor indexed="64"/>
      </patternFill>
    </fill>
    <fill>
      <patternFill patternType="mediumGray">
        <fgColor indexed="17"/>
      </patternFill>
    </fill>
    <fill>
      <patternFill patternType="solid">
        <fgColor indexed="43"/>
        <bgColor indexed="64"/>
      </patternFill>
    </fill>
    <fill>
      <patternFill patternType="solid">
        <fgColor indexed="12"/>
      </patternFill>
    </fill>
    <fill>
      <patternFill patternType="solid">
        <fgColor indexed="13"/>
      </patternFill>
    </fill>
    <fill>
      <patternFill patternType="solid">
        <fgColor indexed="10"/>
      </patternFill>
    </fill>
    <fill>
      <patternFill patternType="solid">
        <fgColor indexed="23"/>
        <bgColor indexed="64"/>
      </patternFill>
    </fill>
    <fill>
      <patternFill patternType="solid">
        <fgColor indexed="40"/>
        <bgColor indexed="64"/>
      </patternFill>
    </fill>
    <fill>
      <patternFill patternType="solid">
        <fgColor indexed="49"/>
        <bgColor indexed="64"/>
      </patternFill>
    </fill>
    <fill>
      <patternFill patternType="mediumGray">
        <fgColor indexed="22"/>
      </patternFill>
    </fill>
    <fill>
      <patternFill patternType="solid">
        <fgColor indexed="15"/>
        <bgColor indexed="64"/>
      </patternFill>
    </fill>
    <fill>
      <patternFill patternType="lightGray">
        <fgColor indexed="12"/>
      </patternFill>
    </fill>
    <fill>
      <patternFill patternType="solid">
        <fgColor indexed="29"/>
        <bgColor indexed="64"/>
      </patternFill>
    </fill>
    <fill>
      <patternFill patternType="solid">
        <fgColor indexed="43"/>
        <bgColor indexed="9"/>
      </patternFill>
    </fill>
    <fill>
      <patternFill patternType="solid">
        <fgColor indexed="42"/>
        <bgColor indexed="64"/>
      </patternFill>
    </fill>
    <fill>
      <patternFill patternType="solid">
        <fgColor indexed="8"/>
      </patternFill>
    </fill>
    <fill>
      <patternFill patternType="solid">
        <fgColor indexed="22"/>
      </patternFill>
    </fill>
    <fill>
      <patternFill patternType="solid">
        <fgColor indexed="9"/>
      </patternFill>
    </fill>
    <fill>
      <patternFill patternType="solid">
        <fgColor indexed="10"/>
        <bgColor indexed="64"/>
      </patternFill>
    </fill>
    <fill>
      <patternFill patternType="gray0625"/>
    </fill>
    <fill>
      <patternFill patternType="solid">
        <fgColor indexed="9"/>
        <bgColor indexed="9"/>
      </patternFill>
    </fill>
    <fill>
      <patternFill patternType="lightGray">
        <fgColor indexed="8"/>
      </patternFill>
    </fill>
    <fill>
      <patternFill patternType="solid">
        <fgColor indexed="15"/>
      </patternFill>
    </fill>
    <fill>
      <patternFill patternType="solid">
        <fgColor indexed="60"/>
        <bgColor indexed="64"/>
      </patternFill>
    </fill>
    <fill>
      <patternFill patternType="darkGray">
        <fgColor indexed="9"/>
        <bgColor indexed="15"/>
      </patternFill>
    </fill>
    <fill>
      <patternFill patternType="solid">
        <fgColor indexed="31"/>
        <bgColor indexed="64"/>
      </patternFill>
    </fill>
    <fill>
      <patternFill patternType="solid">
        <fgColor indexed="22"/>
        <bgColor indexed="9"/>
      </patternFill>
    </fill>
    <fill>
      <patternFill patternType="solid">
        <fgColor indexed="33"/>
        <bgColor indexed="64"/>
      </patternFill>
    </fill>
    <fill>
      <patternFill patternType="solid">
        <fgColor indexed="26"/>
      </patternFill>
    </fill>
    <fill>
      <patternFill patternType="solid">
        <fgColor indexed="17"/>
      </patternFill>
    </fill>
    <fill>
      <patternFill patternType="mediumGray">
        <fgColor indexed="9"/>
        <bgColor indexed="17"/>
      </patternFill>
    </fill>
    <fill>
      <patternFill patternType="mediumGray">
        <fgColor indexed="9"/>
        <bgColor indexed="18"/>
      </patternFill>
    </fill>
    <fill>
      <patternFill patternType="mediumGray">
        <fgColor indexed="20"/>
        <bgColor indexed="9"/>
      </patternFill>
    </fill>
    <fill>
      <patternFill patternType="mediumGray">
        <fgColor indexed="16"/>
        <bgColor indexed="9"/>
      </patternFill>
    </fill>
    <fill>
      <patternFill patternType="mediumGray">
        <fgColor indexed="9"/>
        <bgColor indexed="23"/>
      </patternFill>
    </fill>
    <fill>
      <patternFill patternType="darkGray">
        <fgColor indexed="9"/>
        <bgColor indexed="13"/>
      </patternFill>
    </fill>
    <fill>
      <patternFill patternType="solid">
        <fgColor indexed="23"/>
        <bgColor indexed="16"/>
      </patternFill>
    </fill>
    <fill>
      <patternFill patternType="mediumGray">
        <fgColor indexed="18"/>
      </patternFill>
    </fill>
    <fill>
      <patternFill patternType="mediumGray">
        <fgColor indexed="16"/>
      </patternFill>
    </fill>
    <fill>
      <patternFill patternType="mediumGray">
        <fgColor indexed="21"/>
      </patternFill>
    </fill>
    <fill>
      <patternFill patternType="mediumGray">
        <fgColor indexed="20"/>
      </patternFill>
    </fill>
    <fill>
      <patternFill patternType="mediumGray">
        <fgColor indexed="9"/>
        <bgColor indexed="19"/>
      </patternFill>
    </fill>
    <fill>
      <patternFill patternType="darkVertical"/>
    </fill>
    <fill>
      <patternFill patternType="solid">
        <fgColor indexed="63"/>
        <bgColor indexed="64"/>
      </patternFill>
    </fill>
    <fill>
      <patternFill patternType="solid">
        <fgColor indexed="13"/>
        <bgColor indexed="64"/>
      </patternFill>
    </fill>
    <fill>
      <patternFill patternType="solid">
        <fgColor indexed="8"/>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rgb="FFD4ECFA"/>
        <bgColor indexed="64"/>
      </patternFill>
    </fill>
    <fill>
      <patternFill patternType="solid">
        <fgColor theme="7" tint="0.79998168889431442"/>
        <bgColor indexed="64"/>
      </patternFill>
    </fill>
    <fill>
      <patternFill patternType="solid">
        <fgColor rgb="FFFFFF00"/>
        <bgColor indexed="64"/>
      </patternFill>
    </fill>
  </fills>
  <borders count="70">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hair">
        <color indexed="8"/>
      </top>
      <bottom style="hair">
        <color indexed="8"/>
      </bottom>
      <diagonal/>
    </border>
    <border>
      <left/>
      <right/>
      <top/>
      <bottom style="medium">
        <color indexed="18"/>
      </bottom>
      <diagonal/>
    </border>
    <border>
      <left/>
      <right/>
      <top/>
      <bottom style="thin">
        <color indexed="63"/>
      </bottom>
      <diagonal/>
    </border>
    <border>
      <left style="thin">
        <color indexed="64"/>
      </left>
      <right/>
      <top style="thin">
        <color indexed="65"/>
      </top>
      <bottom/>
      <diagonal/>
    </border>
    <border>
      <left style="double">
        <color indexed="64"/>
      </left>
      <right/>
      <top/>
      <bottom style="hair">
        <color indexed="64"/>
      </bottom>
      <diagonal/>
    </border>
    <border>
      <left style="thin">
        <color indexed="58"/>
      </left>
      <right style="thin">
        <color indexed="58"/>
      </right>
      <top style="thin">
        <color indexed="58"/>
      </top>
      <bottom style="thin">
        <color indexed="58"/>
      </bottom>
      <diagonal/>
    </border>
    <border>
      <left style="thick">
        <color indexed="64"/>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right/>
      <top/>
      <bottom style="medium">
        <color indexed="8"/>
      </bottom>
      <diagonal/>
    </border>
    <border>
      <left/>
      <right/>
      <top style="double">
        <color indexed="64"/>
      </top>
      <bottom/>
      <diagonal/>
    </border>
    <border>
      <left style="thin">
        <color indexed="8"/>
      </left>
      <right style="thin">
        <color indexed="8"/>
      </right>
      <top style="thin">
        <color indexed="8"/>
      </top>
      <bottom style="thin">
        <color indexed="8"/>
      </bottom>
      <diagonal/>
    </border>
    <border>
      <left/>
      <right/>
      <top/>
      <bottom style="medium">
        <color indexed="64"/>
      </bottom>
      <diagonal/>
    </border>
    <border>
      <left/>
      <right/>
      <top/>
      <bottom style="thin">
        <color indexed="44"/>
      </bottom>
      <diagonal/>
    </border>
    <border>
      <left/>
      <right/>
      <top/>
      <bottom style="thin">
        <color auto="1"/>
      </bottom>
      <diagonal/>
    </border>
    <border>
      <left/>
      <right/>
      <top style="thin">
        <color indexed="59"/>
      </top>
      <bottom style="thin">
        <color indexed="59"/>
      </bottom>
      <diagonal/>
    </border>
    <border>
      <left/>
      <right/>
      <top/>
      <bottom style="thin">
        <color indexed="59"/>
      </bottom>
      <diagonal/>
    </border>
    <border>
      <left/>
      <right/>
      <top style="thin">
        <color indexed="59"/>
      </top>
      <bottom/>
      <diagonal/>
    </border>
    <border>
      <left/>
      <right/>
      <top style="thin">
        <color indexed="8"/>
      </top>
      <bottom style="double">
        <color indexed="8"/>
      </bottom>
      <diagonal/>
    </border>
    <border>
      <left/>
      <right/>
      <top style="thin">
        <color indexed="8"/>
      </top>
      <bottom/>
      <diagonal/>
    </border>
    <border>
      <left/>
      <right/>
      <top style="thin">
        <color indexed="64"/>
      </top>
      <bottom/>
      <diagonal/>
    </border>
    <border>
      <left/>
      <right/>
      <top/>
      <bottom style="thin">
        <color indexed="8"/>
      </bottom>
      <diagonal/>
    </border>
    <border>
      <left/>
      <right/>
      <top style="medium">
        <color indexed="64"/>
      </top>
      <bottom style="thin">
        <color indexed="64"/>
      </bottom>
      <diagonal/>
    </border>
    <border>
      <left/>
      <right style="thin">
        <color indexed="8"/>
      </right>
      <top/>
      <bottom style="thin">
        <color indexed="8"/>
      </bottom>
      <diagonal/>
    </border>
    <border>
      <left style="double">
        <color indexed="64"/>
      </left>
      <right style="thin">
        <color indexed="64"/>
      </right>
      <top style="thick">
        <color indexed="64"/>
      </top>
      <bottom/>
      <diagonal/>
    </border>
    <border>
      <left style="thin">
        <color indexed="23"/>
      </left>
      <right style="thin">
        <color indexed="23"/>
      </right>
      <top/>
      <bottom/>
      <diagonal/>
    </border>
    <border>
      <left/>
      <right style="thin">
        <color indexed="8"/>
      </right>
      <top style="thin">
        <color indexed="8"/>
      </top>
      <bottom/>
      <diagonal/>
    </border>
    <border>
      <left/>
      <right/>
      <top/>
      <bottom style="double">
        <color indexed="8"/>
      </bottom>
      <diagonal/>
    </border>
    <border>
      <left/>
      <right/>
      <top style="double">
        <color indexed="64"/>
      </top>
      <bottom style="double">
        <color indexed="64"/>
      </bottom>
      <diagonal/>
    </border>
    <border>
      <left/>
      <right style="medium">
        <color indexed="64"/>
      </right>
      <top/>
      <bottom/>
      <diagonal/>
    </border>
    <border>
      <left/>
      <right/>
      <top/>
      <bottom style="dotted">
        <color indexed="64"/>
      </bottom>
      <diagonal/>
    </border>
    <border>
      <left style="hair">
        <color indexed="12"/>
      </left>
      <right style="hair">
        <color indexed="12"/>
      </right>
      <top style="hair">
        <color indexed="12"/>
      </top>
      <bottom style="hair">
        <color indexed="12"/>
      </bottom>
      <diagonal/>
    </border>
    <border>
      <left style="medium">
        <color indexed="10"/>
      </left>
      <right style="medium">
        <color indexed="10"/>
      </right>
      <top style="hair">
        <color indexed="10"/>
      </top>
      <bottom style="hair">
        <color indexed="10"/>
      </bottom>
      <diagonal/>
    </border>
    <border>
      <left/>
      <right/>
      <top style="medium">
        <color indexed="64"/>
      </top>
      <bottom/>
      <diagonal/>
    </border>
    <border>
      <left/>
      <right/>
      <top style="medium">
        <color auto="1"/>
      </top>
      <bottom style="medium">
        <color auto="1"/>
      </bottom>
      <diagonal/>
    </border>
    <border>
      <left style="thin">
        <color auto="1"/>
      </left>
      <right/>
      <top/>
      <bottom/>
      <diagonal/>
    </border>
    <border>
      <left style="double">
        <color indexed="64"/>
      </left>
      <right style="double">
        <color indexed="64"/>
      </right>
      <top style="double">
        <color indexed="64"/>
      </top>
      <bottom style="double">
        <color indexed="64"/>
      </bottom>
      <diagonal/>
    </border>
    <border>
      <left style="medium">
        <color indexed="64"/>
      </left>
      <right style="thin">
        <color indexed="64"/>
      </right>
      <top/>
      <bottom/>
      <diagonal/>
    </border>
    <border>
      <left/>
      <right/>
      <top style="hair">
        <color indexed="64"/>
      </top>
      <bottom/>
      <diagonal/>
    </border>
    <border>
      <left/>
      <right/>
      <top style="dotted">
        <color indexed="64"/>
      </top>
      <bottom style="dotted">
        <color indexed="64"/>
      </bottom>
      <diagonal/>
    </border>
    <border>
      <left style="thin">
        <color indexed="64"/>
      </left>
      <right style="thin">
        <color indexed="64"/>
      </right>
      <top/>
      <bottom style="hair">
        <color indexed="64"/>
      </bottom>
      <diagonal/>
    </border>
    <border>
      <left/>
      <right style="double">
        <color indexed="64"/>
      </right>
      <top/>
      <bottom style="thin">
        <color indexed="64"/>
      </bottom>
      <diagonal/>
    </border>
    <border>
      <left style="thin">
        <color indexed="22"/>
      </left>
      <right style="thin">
        <color indexed="22"/>
      </right>
      <top style="thin">
        <color indexed="22"/>
      </top>
      <bottom style="thin">
        <color indexed="22"/>
      </bottom>
      <diagonal/>
    </border>
    <border>
      <left style="double">
        <color indexed="64"/>
      </left>
      <right/>
      <top/>
      <bottom/>
      <diagonal/>
    </border>
    <border>
      <left style="thin">
        <color indexed="22"/>
      </left>
      <right style="thin">
        <color indexed="61"/>
      </right>
      <top style="thin">
        <color indexed="22"/>
      </top>
      <bottom style="thin">
        <color indexed="61"/>
      </bottom>
      <diagonal/>
    </border>
    <border>
      <left/>
      <right/>
      <top/>
      <bottom style="hair">
        <color indexed="64"/>
      </bottom>
      <diagonal/>
    </border>
    <border>
      <left/>
      <right/>
      <top style="hair">
        <color indexed="22"/>
      </top>
      <bottom/>
      <diagonal/>
    </border>
    <border>
      <left style="hair">
        <color indexed="64"/>
      </left>
      <right/>
      <top style="hair">
        <color indexed="64"/>
      </top>
      <bottom/>
      <diagonal/>
    </border>
    <border>
      <left/>
      <right style="hair">
        <color indexed="64"/>
      </right>
      <top style="hair">
        <color indexed="64"/>
      </top>
      <bottom/>
      <diagonal/>
    </border>
    <border>
      <left/>
      <right/>
      <top/>
      <bottom style="double">
        <color indexed="64"/>
      </bottom>
      <diagonal/>
    </border>
    <border>
      <left/>
      <right style="thin">
        <color indexed="64"/>
      </right>
      <top style="thin">
        <color indexed="64"/>
      </top>
      <bottom style="thin">
        <color indexed="64"/>
      </bottom>
      <diagonal/>
    </border>
  </borders>
  <cellStyleXfs count="3954">
    <xf numFmtId="0" fontId="0" fillId="0" borderId="0"/>
    <xf numFmtId="0" fontId="1" fillId="2" borderId="1" applyNumberFormat="0" applyFont="0" applyAlignment="0" applyProtection="0"/>
    <xf numFmtId="0" fontId="4" fillId="0" borderId="0"/>
    <xf numFmtId="14" fontId="4" fillId="0" borderId="0" applyProtection="0"/>
    <xf numFmtId="164" fontId="4" fillId="0" borderId="0" applyProtection="0"/>
    <xf numFmtId="0" fontId="5" fillId="0" borderId="0"/>
    <xf numFmtId="0" fontId="5" fillId="0" borderId="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9" applyNumberFormat="0" applyAlignment="0" applyProtection="0"/>
    <xf numFmtId="0" fontId="13" fillId="7" borderId="10" applyNumberFormat="0" applyAlignment="0" applyProtection="0"/>
    <xf numFmtId="0" fontId="14" fillId="7" borderId="9" applyNumberFormat="0" applyAlignment="0" applyProtection="0"/>
    <xf numFmtId="0" fontId="15" fillId="0" borderId="11" applyNumberFormat="0" applyFill="0" applyAlignment="0" applyProtection="0"/>
    <xf numFmtId="0" fontId="16" fillId="8" borderId="12"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2" fillId="0" borderId="13" applyNumberFormat="0" applyFill="0" applyAlignment="0" applyProtection="0"/>
    <xf numFmtId="0" fontId="19"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9" fillId="28" borderId="0" applyNumberFormat="0" applyBorder="0" applyAlignment="0" applyProtection="0"/>
    <xf numFmtId="0" fontId="19"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9" fillId="32" borderId="0" applyNumberFormat="0" applyBorder="0" applyAlignment="0" applyProtection="0"/>
    <xf numFmtId="0" fontId="20" fillId="0" borderId="0" applyNumberFormat="0" applyFill="0" applyBorder="0" applyAlignment="0" applyProtection="0">
      <alignment vertical="top"/>
      <protection locked="0"/>
    </xf>
    <xf numFmtId="0" fontId="21" fillId="0" borderId="0" applyNumberFormat="0" applyFill="0" applyBorder="0" applyAlignment="0" applyProtection="0"/>
    <xf numFmtId="165" fontId="5" fillId="0" borderId="0"/>
    <xf numFmtId="0" fontId="23" fillId="0" borderId="0">
      <alignment horizontal="center"/>
    </xf>
    <xf numFmtId="0" fontId="5" fillId="0" borderId="0"/>
    <xf numFmtId="0" fontId="5" fillId="0" borderId="0"/>
    <xf numFmtId="0" fontId="5" fillId="0" borderId="0"/>
    <xf numFmtId="0" fontId="5" fillId="0" borderId="0"/>
    <xf numFmtId="0" fontId="5" fillId="0" borderId="0"/>
    <xf numFmtId="0" fontId="24" fillId="0" borderId="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25" fillId="0" borderId="0"/>
    <xf numFmtId="0" fontId="26" fillId="0" borderId="0" applyNumberFormat="0" applyFill="0" applyBorder="0" applyAlignment="0" applyProtection="0"/>
    <xf numFmtId="0" fontId="25" fillId="0" borderId="0"/>
    <xf numFmtId="166" fontId="5" fillId="0" borderId="18"/>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8" fillId="0" borderId="0"/>
    <xf numFmtId="165" fontId="28" fillId="0" borderId="0"/>
    <xf numFmtId="167" fontId="23" fillId="0" borderId="0" applyFont="0" applyFill="0" applyBorder="0" applyAlignment="0" applyProtection="0">
      <protection locked="0"/>
    </xf>
    <xf numFmtId="165" fontId="28" fillId="0" borderId="0">
      <alignment horizontal="right"/>
    </xf>
    <xf numFmtId="168" fontId="5" fillId="0" borderId="0"/>
    <xf numFmtId="168" fontId="5" fillId="0" borderId="0"/>
    <xf numFmtId="168" fontId="5" fillId="0" borderId="0"/>
    <xf numFmtId="169" fontId="5" fillId="0" borderId="0"/>
    <xf numFmtId="169" fontId="5" fillId="0" borderId="0"/>
    <xf numFmtId="169" fontId="5" fillId="0" borderId="0"/>
    <xf numFmtId="170" fontId="5" fillId="0" borderId="0"/>
    <xf numFmtId="170" fontId="5" fillId="0" borderId="0"/>
    <xf numFmtId="170" fontId="5" fillId="0" borderId="0"/>
    <xf numFmtId="171" fontId="5" fillId="0" borderId="0"/>
    <xf numFmtId="171" fontId="5" fillId="0" borderId="0"/>
    <xf numFmtId="171" fontId="5" fillId="0" borderId="0"/>
    <xf numFmtId="172" fontId="5" fillId="0" borderId="0"/>
    <xf numFmtId="172" fontId="5" fillId="0" borderId="0"/>
    <xf numFmtId="172" fontId="5" fillId="0" borderId="0"/>
    <xf numFmtId="173" fontId="5" fillId="0" borderId="0"/>
    <xf numFmtId="173" fontId="5" fillId="0" borderId="0"/>
    <xf numFmtId="173" fontId="5" fillId="0" borderId="0"/>
    <xf numFmtId="0" fontId="5" fillId="0" borderId="0"/>
    <xf numFmtId="0" fontId="5" fillId="0" borderId="0"/>
    <xf numFmtId="0" fontId="5" fillId="0" borderId="0"/>
    <xf numFmtId="174" fontId="29" fillId="0" borderId="0" applyFont="0" applyFill="0" applyBorder="0" applyAlignment="0" applyProtection="0"/>
    <xf numFmtId="0" fontId="5" fillId="0" borderId="0"/>
    <xf numFmtId="37" fontId="30" fillId="0" borderId="0" applyAlignment="0" applyProtection="0"/>
    <xf numFmtId="0" fontId="23" fillId="0" borderId="0" applyFont="0" applyFill="0" applyBorder="0" applyAlignment="0"/>
    <xf numFmtId="0" fontId="23" fillId="0" borderId="0" applyFont="0" applyFill="0" applyBorder="0" applyAlignment="0"/>
    <xf numFmtId="0" fontId="31" fillId="0" borderId="0"/>
    <xf numFmtId="175" fontId="32" fillId="0" borderId="0" applyFont="0" applyFill="0" applyBorder="0" applyAlignment="0" applyProtection="0"/>
    <xf numFmtId="176" fontId="5" fillId="0" borderId="0" applyFont="0" applyFill="0" applyBorder="0" applyAlignment="0" applyProtection="0"/>
    <xf numFmtId="177" fontId="5" fillId="33" borderId="0"/>
    <xf numFmtId="40" fontId="32" fillId="0" borderId="0" applyFont="0" applyFill="0" applyBorder="0" applyAlignment="0" applyProtection="0"/>
    <xf numFmtId="0" fontId="33" fillId="0" borderId="0" applyNumberFormat="0" applyFill="0" applyBorder="0" applyAlignment="0" applyProtection="0">
      <alignment vertical="top"/>
      <protection locked="0"/>
    </xf>
    <xf numFmtId="38" fontId="32" fillId="0" borderId="0" applyFont="0" applyFill="0" applyBorder="0" applyAlignment="0" applyProtection="0"/>
    <xf numFmtId="0" fontId="34" fillId="0" borderId="0"/>
    <xf numFmtId="0" fontId="35" fillId="0" borderId="0"/>
    <xf numFmtId="17" fontId="36" fillId="0" borderId="0">
      <alignment horizontal="center"/>
    </xf>
    <xf numFmtId="178" fontId="5" fillId="0" borderId="0" applyFont="0" applyFill="0" applyBorder="0" applyAlignment="0" applyProtection="0"/>
    <xf numFmtId="179" fontId="5" fillId="0" borderId="0" applyFont="0" applyFill="0" applyBorder="0" applyAlignment="0" applyProtection="0"/>
    <xf numFmtId="0" fontId="5" fillId="0" borderId="0"/>
    <xf numFmtId="0" fontId="5" fillId="0" borderId="0" applyNumberFormat="0" applyFill="0" applyBorder="0" applyAlignment="0" applyProtection="0"/>
    <xf numFmtId="0" fontId="5" fillId="0" borderId="0"/>
    <xf numFmtId="0" fontId="5" fillId="0" borderId="0" applyNumberFormat="0" applyFill="0" applyBorder="0" applyAlignment="0" applyProtection="0">
      <alignment horizontal="left" wrapText="1"/>
    </xf>
    <xf numFmtId="0" fontId="35" fillId="0" borderId="0"/>
    <xf numFmtId="0" fontId="5" fillId="0" borderId="0"/>
    <xf numFmtId="0" fontId="5" fillId="0" borderId="0"/>
    <xf numFmtId="0" fontId="5" fillId="0" borderId="0" applyNumberFormat="0" applyFill="0" applyBorder="0" applyAlignment="0" applyProtection="0"/>
    <xf numFmtId="0" fontId="5" fillId="0" borderId="0"/>
    <xf numFmtId="0" fontId="24" fillId="0" borderId="0"/>
    <xf numFmtId="0" fontId="37" fillId="0" borderId="0"/>
    <xf numFmtId="0" fontId="38" fillId="0" borderId="0"/>
    <xf numFmtId="0" fontId="24" fillId="0" borderId="0"/>
    <xf numFmtId="0" fontId="24" fillId="0" borderId="0"/>
    <xf numFmtId="0" fontId="24" fillId="0" borderId="0"/>
    <xf numFmtId="0" fontId="24" fillId="0" borderId="0"/>
    <xf numFmtId="0" fontId="38" fillId="0" borderId="0"/>
    <xf numFmtId="0" fontId="24" fillId="0" borderId="0"/>
    <xf numFmtId="0" fontId="5" fillId="0" borderId="0"/>
    <xf numFmtId="0" fontId="5" fillId="0" borderId="0"/>
    <xf numFmtId="0" fontId="25" fillId="0" borderId="0"/>
    <xf numFmtId="0" fontId="35" fillId="0" borderId="0"/>
    <xf numFmtId="0" fontId="2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xf numFmtId="0" fontId="5" fillId="0" borderId="0" applyFont="0" applyFill="0" applyBorder="0" applyAlignment="0" applyProtection="0"/>
    <xf numFmtId="0" fontId="25" fillId="0" borderId="0"/>
    <xf numFmtId="0" fontId="5" fillId="0" borderId="0"/>
    <xf numFmtId="0" fontId="5" fillId="0" borderId="0"/>
    <xf numFmtId="0" fontId="5" fillId="0" borderId="0" applyNumberFormat="0" applyFill="0" applyBorder="0" applyAlignment="0" applyProtection="0"/>
    <xf numFmtId="0" fontId="5" fillId="0" borderId="0"/>
    <xf numFmtId="0" fontId="5" fillId="0" borderId="0"/>
    <xf numFmtId="0" fontId="38" fillId="0" borderId="0"/>
    <xf numFmtId="0" fontId="24" fillId="0" borderId="0"/>
    <xf numFmtId="0" fontId="24" fillId="0" borderId="0"/>
    <xf numFmtId="0" fontId="24" fillId="0" borderId="0"/>
    <xf numFmtId="0" fontId="5" fillId="0" borderId="0">
      <alignment horizontal="left" wrapText="1"/>
    </xf>
    <xf numFmtId="0" fontId="5" fillId="0" borderId="0" applyNumberFormat="0" applyFill="0" applyBorder="0" applyAlignment="0" applyProtection="0"/>
    <xf numFmtId="0" fontId="24" fillId="0" borderId="0"/>
    <xf numFmtId="0" fontId="5" fillId="0" borderId="0">
      <alignment horizontal="left" wrapText="1"/>
    </xf>
    <xf numFmtId="0" fontId="5" fillId="0" borderId="0"/>
    <xf numFmtId="0" fontId="5" fillId="0" borderId="0"/>
    <xf numFmtId="0" fontId="5" fillId="0" borderId="0"/>
    <xf numFmtId="0" fontId="5" fillId="0" borderId="0"/>
    <xf numFmtId="0" fontId="24" fillId="0" borderId="0"/>
    <xf numFmtId="0" fontId="38" fillId="0" borderId="0"/>
    <xf numFmtId="0" fontId="24" fillId="0" borderId="0"/>
    <xf numFmtId="0" fontId="24" fillId="0" borderId="0"/>
    <xf numFmtId="0" fontId="24" fillId="0" borderId="0"/>
    <xf numFmtId="0" fontId="24" fillId="0" borderId="0"/>
    <xf numFmtId="0" fontId="38" fillId="0" borderId="0"/>
    <xf numFmtId="0" fontId="24" fillId="0" borderId="0"/>
    <xf numFmtId="0" fontId="24" fillId="0" borderId="0"/>
    <xf numFmtId="0" fontId="5" fillId="0" borderId="0"/>
    <xf numFmtId="0" fontId="5"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5" fillId="0" borderId="0"/>
    <xf numFmtId="0" fontId="5" fillId="0" borderId="0"/>
    <xf numFmtId="0" fontId="5" fillId="0" borderId="0"/>
    <xf numFmtId="0" fontId="25" fillId="0" borderId="0"/>
    <xf numFmtId="0" fontId="25" fillId="0" borderId="0"/>
    <xf numFmtId="0" fontId="5" fillId="0" borderId="0"/>
    <xf numFmtId="0" fontId="5"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5" fillId="0" borderId="0" applyNumberFormat="0" applyFill="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38" fillId="0" borderId="0"/>
    <xf numFmtId="0" fontId="24" fillId="0" borderId="0"/>
    <xf numFmtId="0" fontId="24" fillId="0" borderId="0"/>
    <xf numFmtId="0" fontId="24" fillId="0" borderId="0"/>
    <xf numFmtId="0" fontId="5" fillId="0" borderId="0" applyNumberFormat="0" applyFill="0" applyBorder="0" applyAlignment="0" applyProtection="0"/>
    <xf numFmtId="0" fontId="38" fillId="0" borderId="0"/>
    <xf numFmtId="0" fontId="37" fillId="0" borderId="0"/>
    <xf numFmtId="0" fontId="37" fillId="0" borderId="0"/>
    <xf numFmtId="0" fontId="37" fillId="0" borderId="0"/>
    <xf numFmtId="0" fontId="38" fillId="0" borderId="0"/>
    <xf numFmtId="0" fontId="38" fillId="0" borderId="0"/>
    <xf numFmtId="0" fontId="24" fillId="0" borderId="0"/>
    <xf numFmtId="0" fontId="24" fillId="0" borderId="0"/>
    <xf numFmtId="0" fontId="24" fillId="0" borderId="0"/>
    <xf numFmtId="0" fontId="5" fillId="0" borderId="0">
      <alignment horizontal="left" wrapText="1"/>
    </xf>
    <xf numFmtId="0" fontId="5" fillId="0" borderId="0" applyFont="0" applyFill="0" applyBorder="0" applyAlignment="0" applyProtection="0"/>
    <xf numFmtId="0" fontId="24" fillId="0" borderId="0"/>
    <xf numFmtId="0" fontId="5" fillId="0" borderId="0"/>
    <xf numFmtId="0" fontId="5" fillId="0" borderId="0"/>
    <xf numFmtId="0" fontId="5" fillId="0" borderId="0"/>
    <xf numFmtId="0" fontId="5" fillId="0" borderId="0"/>
    <xf numFmtId="0" fontId="5" fillId="0" borderId="0"/>
    <xf numFmtId="0" fontId="35"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0" fontId="25" fillId="0" borderId="0"/>
    <xf numFmtId="0" fontId="24" fillId="0" borderId="0"/>
    <xf numFmtId="0" fontId="37" fillId="0" borderId="0"/>
    <xf numFmtId="0" fontId="38" fillId="0" borderId="0"/>
    <xf numFmtId="0" fontId="24" fillId="0" borderId="0"/>
    <xf numFmtId="0" fontId="24" fillId="0" borderId="0"/>
    <xf numFmtId="0" fontId="24" fillId="0" borderId="0"/>
    <xf numFmtId="0" fontId="24" fillId="0" borderId="0"/>
    <xf numFmtId="0" fontId="38" fillId="0" borderId="0"/>
    <xf numFmtId="0" fontId="24" fillId="0" borderId="0"/>
    <xf numFmtId="0" fontId="5" fillId="0" borderId="0">
      <alignment horizontal="left" wrapText="1"/>
    </xf>
    <xf numFmtId="38" fontId="39" fillId="0" borderId="0" applyFont="0" applyFill="0" applyBorder="0" applyAlignment="0" applyProtection="0"/>
    <xf numFmtId="0" fontId="40" fillId="0" borderId="0">
      <alignment vertical="center"/>
    </xf>
    <xf numFmtId="0" fontId="40" fillId="0" borderId="0">
      <alignment vertical="center"/>
    </xf>
    <xf numFmtId="0" fontId="40" fillId="0" borderId="0">
      <alignment vertical="center"/>
    </xf>
    <xf numFmtId="0" fontId="5" fillId="0" borderId="0">
      <alignment horizontal="left" wrapText="1"/>
    </xf>
    <xf numFmtId="37" fontId="30" fillId="0" borderId="0" applyAlignment="0" applyProtection="0"/>
    <xf numFmtId="0" fontId="5" fillId="0" borderId="0">
      <alignment horizontal="left" wrapText="1"/>
    </xf>
    <xf numFmtId="0" fontId="5" fillId="0" borderId="0" applyFont="0" applyFill="0" applyBorder="0" applyAlignment="0" applyProtection="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pplyFont="0" applyFill="0" applyBorder="0" applyAlignment="0" applyProtection="0"/>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5"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38" fontId="39"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xf numFmtId="0" fontId="5" fillId="0" borderId="0"/>
    <xf numFmtId="0" fontId="5" fillId="0" borderId="0">
      <alignment horizontal="left" wrapText="1"/>
    </xf>
    <xf numFmtId="0" fontId="5" fillId="0" borderId="0"/>
    <xf numFmtId="0" fontId="5" fillId="0" borderId="0"/>
    <xf numFmtId="0" fontId="5" fillId="0" borderId="0">
      <alignment horizontal="left" wrapText="1"/>
    </xf>
    <xf numFmtId="0" fontId="5" fillId="0" borderId="0" applyNumberFormat="0" applyFill="0" applyBorder="0" applyAlignment="0" applyProtection="0"/>
    <xf numFmtId="0" fontId="5" fillId="0" borderId="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applyNumberFormat="0" applyFill="0" applyBorder="0" applyAlignment="0" applyProtection="0"/>
    <xf numFmtId="0" fontId="24" fillId="0" borderId="0"/>
    <xf numFmtId="0" fontId="35" fillId="0" borderId="0"/>
    <xf numFmtId="180"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1"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1"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0" fontId="5" fillId="0" borderId="0">
      <alignment horizontal="left" wrapText="1"/>
    </xf>
    <xf numFmtId="0" fontId="5" fillId="0" borderId="0" applyNumberFormat="0" applyFill="0" applyBorder="0" applyAlignment="0" applyProtection="0"/>
    <xf numFmtId="0" fontId="35" fillId="0" borderId="0"/>
    <xf numFmtId="0" fontId="5" fillId="0" borderId="0"/>
    <xf numFmtId="0" fontId="5" fillId="0" borderId="0"/>
    <xf numFmtId="0" fontId="5" fillId="0" borderId="0"/>
    <xf numFmtId="0" fontId="5" fillId="0" borderId="0">
      <alignment horizontal="left" wrapText="1"/>
    </xf>
    <xf numFmtId="37" fontId="30" fillId="0" borderId="0" applyAlignment="0" applyProtection="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pplyFont="0" applyFill="0" applyBorder="0" applyAlignment="0" applyProtection="0"/>
    <xf numFmtId="0" fontId="5" fillId="0" borderId="0" applyFont="0" applyFill="0" applyBorder="0" applyAlignment="0" applyProtection="0"/>
    <xf numFmtId="0" fontId="38" fillId="0" borderId="0"/>
    <xf numFmtId="0" fontId="24" fillId="0" borderId="0"/>
    <xf numFmtId="0" fontId="24" fillId="0" borderId="0"/>
    <xf numFmtId="0" fontId="24" fillId="0" borderId="0"/>
    <xf numFmtId="0" fontId="5" fillId="0" borderId="0"/>
    <xf numFmtId="0" fontId="5" fillId="0" borderId="0"/>
    <xf numFmtId="0" fontId="5" fillId="0" borderId="0"/>
    <xf numFmtId="0" fontId="24" fillId="0" borderId="0"/>
    <xf numFmtId="37" fontId="30" fillId="0" borderId="0" applyAlignment="0" applyProtection="0"/>
    <xf numFmtId="0" fontId="5" fillId="0" borderId="0"/>
    <xf numFmtId="0" fontId="5" fillId="0" borderId="0"/>
    <xf numFmtId="37" fontId="30" fillId="0" borderId="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8" fillId="0" borderId="0"/>
    <xf numFmtId="0" fontId="24" fillId="0" borderId="0"/>
    <xf numFmtId="0" fontId="24" fillId="0" borderId="0"/>
    <xf numFmtId="0" fontId="24" fillId="0" borderId="0"/>
    <xf numFmtId="0" fontId="38" fillId="0" borderId="0"/>
    <xf numFmtId="0" fontId="24" fillId="0" borderId="0"/>
    <xf numFmtId="0" fontId="24" fillId="0" borderId="0"/>
    <xf numFmtId="0" fontId="24" fillId="0" borderId="0"/>
    <xf numFmtId="0" fontId="38" fillId="0" borderId="0"/>
    <xf numFmtId="0" fontId="24" fillId="0" borderId="0"/>
    <xf numFmtId="0" fontId="24" fillId="0" borderId="0"/>
    <xf numFmtId="0" fontId="24" fillId="0" borderId="0"/>
    <xf numFmtId="0" fontId="38" fillId="0" borderId="0"/>
    <xf numFmtId="0" fontId="24" fillId="0" borderId="0"/>
    <xf numFmtId="0" fontId="24" fillId="0" borderId="0"/>
    <xf numFmtId="0" fontId="24" fillId="0" borderId="0"/>
    <xf numFmtId="182"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41" fillId="0" borderId="0" applyFont="0" applyFill="0" applyBorder="0" applyAlignment="0" applyProtection="0"/>
    <xf numFmtId="183"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41" fillId="0" borderId="0" applyFont="0" applyFill="0" applyBorder="0" applyAlignment="0" applyProtection="0"/>
    <xf numFmtId="39"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0" fontId="5" fillId="0" borderId="0"/>
    <xf numFmtId="0" fontId="5" fillId="0" borderId="0"/>
    <xf numFmtId="0" fontId="35" fillId="0" borderId="0"/>
    <xf numFmtId="0" fontId="35" fillId="0" borderId="0"/>
    <xf numFmtId="0" fontId="3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42" fillId="0" borderId="0">
      <alignment horizontal="left" wrapText="1"/>
    </xf>
    <xf numFmtId="0" fontId="43" fillId="0" borderId="0">
      <alignment horizontal="left" wrapText="1"/>
    </xf>
    <xf numFmtId="0" fontId="43" fillId="0" borderId="0">
      <alignment horizontal="left" wrapText="1"/>
    </xf>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25" fillId="0" borderId="0"/>
    <xf numFmtId="0" fontId="25" fillId="0" borderId="0"/>
    <xf numFmtId="0" fontId="5" fillId="0" borderId="0">
      <alignment horizontal="left" wrapText="1"/>
    </xf>
    <xf numFmtId="0" fontId="5" fillId="0" borderId="0">
      <alignment horizontal="left" wrapText="1"/>
    </xf>
    <xf numFmtId="0" fontId="24" fillId="0" borderId="0"/>
    <xf numFmtId="0" fontId="37" fillId="0" borderId="0"/>
    <xf numFmtId="0" fontId="5" fillId="0" borderId="0">
      <alignment horizontal="left" wrapText="1"/>
    </xf>
    <xf numFmtId="0"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25" fillId="0" borderId="0"/>
    <xf numFmtId="0" fontId="25" fillId="0" borderId="0"/>
    <xf numFmtId="0" fontId="25" fillId="0" borderId="0"/>
    <xf numFmtId="0" fontId="5" fillId="0" borderId="0"/>
    <xf numFmtId="0" fontId="5" fillId="0" borderId="0">
      <alignment horizontal="left" wrapText="1"/>
    </xf>
    <xf numFmtId="0" fontId="5" fillId="0" borderId="0">
      <alignment horizontal="left" wrapText="1"/>
    </xf>
    <xf numFmtId="0" fontId="5" fillId="0" borderId="0" applyFont="0" applyFill="0" applyBorder="0" applyAlignment="0" applyProtection="0"/>
    <xf numFmtId="0" fontId="5" fillId="0" borderId="0">
      <alignment horizontal="left" wrapText="1"/>
    </xf>
    <xf numFmtId="0" fontId="5" fillId="0" borderId="0"/>
    <xf numFmtId="0" fontId="5" fillId="0" borderId="0"/>
    <xf numFmtId="0" fontId="5" fillId="0" borderId="0"/>
    <xf numFmtId="0" fontId="5" fillId="0" borderId="0" applyFont="0" applyFill="0" applyBorder="0" applyAlignment="0" applyProtection="0"/>
    <xf numFmtId="185" fontId="5" fillId="0" borderId="0" applyFont="0" applyFill="0" applyBorder="0" applyAlignment="0" applyProtection="0"/>
    <xf numFmtId="0" fontId="5" fillId="0" borderId="0"/>
    <xf numFmtId="0" fontId="5" fillId="0" borderId="0">
      <alignment horizontal="left" wrapText="1"/>
    </xf>
    <xf numFmtId="0" fontId="5" fillId="0" borderId="0"/>
    <xf numFmtId="0" fontId="44" fillId="0" borderId="0">
      <alignment vertical="center"/>
    </xf>
    <xf numFmtId="0" fontId="5" fillId="0" borderId="0"/>
    <xf numFmtId="0" fontId="5" fillId="0" borderId="0"/>
    <xf numFmtId="0" fontId="24" fillId="0" borderId="0"/>
    <xf numFmtId="0" fontId="5" fillId="0" borderId="0">
      <alignment horizontal="left" wrapText="1"/>
    </xf>
    <xf numFmtId="0" fontId="5" fillId="0" borderId="0"/>
    <xf numFmtId="0" fontId="37" fillId="0" borderId="0"/>
    <xf numFmtId="0" fontId="5" fillId="0" borderId="0"/>
    <xf numFmtId="0" fontId="24" fillId="0" borderId="0"/>
    <xf numFmtId="0" fontId="24" fillId="0" borderId="0"/>
    <xf numFmtId="0" fontId="25" fillId="0" borderId="0"/>
    <xf numFmtId="0" fontId="24" fillId="0" borderId="0"/>
    <xf numFmtId="0" fontId="5" fillId="0" borderId="0">
      <alignment horizontal="left" wrapText="1"/>
    </xf>
    <xf numFmtId="0" fontId="5" fillId="0" borderId="0"/>
    <xf numFmtId="0" fontId="5" fillId="0" borderId="0"/>
    <xf numFmtId="0" fontId="5" fillId="0" borderId="0"/>
    <xf numFmtId="0" fontId="38" fillId="0" borderId="0"/>
    <xf numFmtId="0" fontId="5" fillId="0" borderId="0">
      <alignment horizontal="left" wrapText="1"/>
    </xf>
    <xf numFmtId="0" fontId="5" fillId="0" borderId="0">
      <alignment horizontal="left" wrapText="1"/>
    </xf>
    <xf numFmtId="0" fontId="5" fillId="0" borderId="0"/>
    <xf numFmtId="0" fontId="35" fillId="0" borderId="0"/>
    <xf numFmtId="0" fontId="24" fillId="0" borderId="0"/>
    <xf numFmtId="0" fontId="38" fillId="0" borderId="0"/>
    <xf numFmtId="0" fontId="24" fillId="0" borderId="0"/>
    <xf numFmtId="0" fontId="24" fillId="0" borderId="0"/>
    <xf numFmtId="0" fontId="24" fillId="0" borderId="0"/>
    <xf numFmtId="0" fontId="24" fillId="0" borderId="0"/>
    <xf numFmtId="0" fontId="38" fillId="0" borderId="0"/>
    <xf numFmtId="0" fontId="24" fillId="0" borderId="0"/>
    <xf numFmtId="0" fontId="38" fillId="0" borderId="0"/>
    <xf numFmtId="0" fontId="38" fillId="0" borderId="0"/>
    <xf numFmtId="0" fontId="38" fillId="0" borderId="0"/>
    <xf numFmtId="0" fontId="38" fillId="0" borderId="0"/>
    <xf numFmtId="0" fontId="38" fillId="0" borderId="0"/>
    <xf numFmtId="0" fontId="38" fillId="0" borderId="0"/>
    <xf numFmtId="0" fontId="5" fillId="0" borderId="0">
      <alignment horizontal="left" wrapText="1"/>
    </xf>
    <xf numFmtId="0" fontId="5" fillId="0" borderId="0">
      <alignment horizontal="left" wrapText="1"/>
    </xf>
    <xf numFmtId="38" fontId="39" fillId="0" borderId="0" applyFont="0" applyFill="0" applyBorder="0" applyAlignment="0" applyProtection="0"/>
    <xf numFmtId="38" fontId="39" fillId="0" borderId="0" applyFont="0" applyFill="0" applyBorder="0" applyAlignment="0" applyProtection="0"/>
    <xf numFmtId="0" fontId="5" fillId="0" borderId="0" applyNumberFormat="0" applyFill="0" applyBorder="0" applyAlignment="0" applyProtection="0"/>
    <xf numFmtId="0" fontId="5" fillId="0" borderId="0"/>
    <xf numFmtId="0" fontId="24" fillId="0" borderId="0"/>
    <xf numFmtId="0" fontId="35" fillId="0" borderId="0"/>
    <xf numFmtId="0" fontId="5" fillId="0" borderId="0"/>
    <xf numFmtId="0" fontId="5" fillId="0" borderId="0"/>
    <xf numFmtId="0" fontId="25" fillId="0" borderId="0"/>
    <xf numFmtId="0" fontId="25" fillId="0" borderId="0"/>
    <xf numFmtId="0" fontId="38" fillId="0" borderId="0"/>
    <xf numFmtId="0" fontId="37" fillId="0" borderId="0"/>
    <xf numFmtId="0" fontId="37" fillId="0" borderId="0"/>
    <xf numFmtId="0" fontId="37" fillId="0" borderId="0"/>
    <xf numFmtId="0" fontId="38" fillId="0" borderId="0"/>
    <xf numFmtId="0" fontId="38"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38" fillId="0" borderId="0"/>
    <xf numFmtId="0" fontId="37" fillId="0" borderId="0"/>
    <xf numFmtId="0" fontId="37" fillId="0" borderId="0"/>
    <xf numFmtId="0" fontId="37" fillId="0" borderId="0"/>
    <xf numFmtId="0" fontId="38" fillId="0" borderId="0"/>
    <xf numFmtId="0" fontId="38" fillId="0" borderId="0"/>
    <xf numFmtId="0" fontId="5" fillId="0" borderId="0"/>
    <xf numFmtId="0" fontId="5"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5" fillId="0" borderId="0"/>
    <xf numFmtId="0" fontId="5" fillId="0" borderId="0"/>
    <xf numFmtId="0" fontId="5" fillId="0" borderId="0"/>
    <xf numFmtId="0" fontId="5" fillId="0" borderId="0"/>
    <xf numFmtId="0" fontId="5" fillId="34" borderId="0"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5" fillId="0" borderId="0"/>
    <xf numFmtId="37" fontId="30" fillId="0" borderId="0" applyAlignment="0" applyProtection="0"/>
    <xf numFmtId="0" fontId="5" fillId="0" borderId="0"/>
    <xf numFmtId="0" fontId="24" fillId="0" borderId="0"/>
    <xf numFmtId="0" fontId="5" fillId="0" borderId="0"/>
    <xf numFmtId="0" fontId="5" fillId="0" borderId="0">
      <alignment horizontal="left" wrapText="1"/>
    </xf>
    <xf numFmtId="0" fontId="24" fillId="0" borderId="0"/>
    <xf numFmtId="37" fontId="30" fillId="0" borderId="0" applyAlignment="0" applyProtection="0"/>
    <xf numFmtId="0" fontId="25" fillId="0" borderId="0"/>
    <xf numFmtId="0" fontId="25" fillId="0" borderId="0"/>
    <xf numFmtId="0" fontId="25" fillId="0" borderId="0"/>
    <xf numFmtId="0" fontId="25" fillId="0" borderId="0"/>
    <xf numFmtId="0" fontId="24" fillId="0" borderId="0"/>
    <xf numFmtId="0" fontId="37" fillId="0" borderId="0"/>
    <xf numFmtId="0" fontId="38" fillId="0" borderId="0"/>
    <xf numFmtId="0" fontId="24" fillId="0" borderId="0"/>
    <xf numFmtId="0" fontId="24" fillId="0" borderId="0"/>
    <xf numFmtId="0" fontId="24" fillId="0" borderId="0"/>
    <xf numFmtId="0" fontId="24" fillId="0" borderId="0"/>
    <xf numFmtId="0" fontId="38" fillId="0" borderId="0"/>
    <xf numFmtId="0" fontId="24"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24" fillId="0" borderId="0"/>
    <xf numFmtId="0" fontId="24" fillId="0" borderId="0"/>
    <xf numFmtId="0" fontId="24" fillId="0" borderId="0"/>
    <xf numFmtId="0" fontId="37" fillId="0" borderId="0"/>
    <xf numFmtId="0" fontId="24" fillId="0" borderId="0"/>
    <xf numFmtId="0" fontId="24" fillId="0" borderId="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2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37" fontId="30" fillId="0" borderId="0" applyAlignment="0" applyProtection="0"/>
    <xf numFmtId="37" fontId="30" fillId="0" borderId="0" applyAlignment="0" applyProtection="0"/>
    <xf numFmtId="0" fontId="5" fillId="0" borderId="0"/>
    <xf numFmtId="0" fontId="5" fillId="0" borderId="0">
      <alignment horizontal="left" wrapText="1"/>
    </xf>
    <xf numFmtId="0" fontId="25" fillId="0" borderId="0"/>
    <xf numFmtId="0" fontId="5" fillId="0" borderId="0">
      <alignment horizontal="left" wrapText="1"/>
    </xf>
    <xf numFmtId="0" fontId="5" fillId="0" borderId="0"/>
    <xf numFmtId="38" fontId="39"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37" fontId="30" fillId="0" borderId="0" applyAlignment="0" applyProtection="0"/>
    <xf numFmtId="37" fontId="30" fillId="0" borderId="0" applyAlignment="0" applyProtection="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0" fontId="5" fillId="0" borderId="0">
      <alignment horizontal="left" wrapText="1"/>
    </xf>
    <xf numFmtId="0" fontId="5" fillId="0" borderId="0"/>
    <xf numFmtId="0" fontId="35" fillId="0" borderId="0"/>
    <xf numFmtId="0" fontId="5" fillId="0" borderId="0">
      <alignment horizontal="left" wrapText="1"/>
    </xf>
    <xf numFmtId="0" fontId="24" fillId="0" borderId="0"/>
    <xf numFmtId="0" fontId="5" fillId="0" borderId="0"/>
    <xf numFmtId="0" fontId="25" fillId="0" borderId="0"/>
    <xf numFmtId="0" fontId="5" fillId="0" borderId="0"/>
    <xf numFmtId="0" fontId="5" fillId="0" borderId="0"/>
    <xf numFmtId="0" fontId="46" fillId="0" borderId="0">
      <alignment vertical="top"/>
    </xf>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8" fontId="5" fillId="0" borderId="0" applyFont="0" applyFill="0" applyBorder="0" applyProtection="0">
      <alignment horizontal="right"/>
    </xf>
    <xf numFmtId="188" fontId="5" fillId="0" borderId="0" applyFont="0" applyFill="0" applyBorder="0" applyProtection="0">
      <alignment horizontal="right"/>
    </xf>
    <xf numFmtId="188" fontId="5" fillId="0" borderId="0" applyFont="0" applyFill="0" applyBorder="0" applyProtection="0">
      <alignment horizontal="right"/>
    </xf>
    <xf numFmtId="189" fontId="5" fillId="0" borderId="0" applyFont="0" applyFill="0" applyBorder="0" applyAlignment="0" applyProtection="0"/>
    <xf numFmtId="188" fontId="5" fillId="0" borderId="0" applyFont="0" applyFill="0" applyBorder="0" applyProtection="0">
      <alignment horizontal="right"/>
    </xf>
    <xf numFmtId="188" fontId="5" fillId="0" borderId="0" applyFont="0" applyFill="0" applyBorder="0" applyProtection="0">
      <alignment horizontal="right"/>
    </xf>
    <xf numFmtId="188" fontId="5" fillId="0" borderId="0" applyFont="0" applyFill="0" applyBorder="0" applyProtection="0">
      <alignment horizontal="right"/>
    </xf>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Protection="0">
      <alignment horizontal="right"/>
    </xf>
    <xf numFmtId="188" fontId="5" fillId="0" borderId="0" applyFont="0" applyFill="0" applyBorder="0" applyProtection="0">
      <alignment horizontal="right"/>
    </xf>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Protection="0">
      <alignment horizontal="right"/>
    </xf>
    <xf numFmtId="188" fontId="5" fillId="0" borderId="0" applyFont="0" applyFill="0" applyBorder="0" applyProtection="0">
      <alignment horizontal="right"/>
    </xf>
    <xf numFmtId="189" fontId="5" fillId="0" borderId="0" applyFont="0" applyFill="0" applyBorder="0" applyAlignment="0" applyProtection="0"/>
    <xf numFmtId="188" fontId="5" fillId="0" borderId="0" applyFont="0" applyFill="0" applyBorder="0" applyProtection="0">
      <alignment horizontal="right"/>
    </xf>
    <xf numFmtId="188" fontId="5" fillId="0" borderId="0" applyFont="0" applyFill="0" applyBorder="0" applyProtection="0">
      <alignment horizontal="right"/>
    </xf>
    <xf numFmtId="189" fontId="5" fillId="0" borderId="0" applyFont="0" applyFill="0" applyBorder="0" applyAlignment="0" applyProtection="0"/>
    <xf numFmtId="188" fontId="5" fillId="0" borderId="0" applyFont="0" applyFill="0" applyBorder="0" applyProtection="0">
      <alignment horizontal="right"/>
    </xf>
    <xf numFmtId="189" fontId="5" fillId="0" borderId="0" applyFont="0" applyFill="0" applyBorder="0" applyAlignment="0" applyProtection="0"/>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0" fontId="5" fillId="0" borderId="0">
      <alignment horizontal="left" wrapText="1"/>
    </xf>
    <xf numFmtId="0" fontId="5" fillId="0" borderId="0">
      <alignment horizontal="left" wrapText="1"/>
    </xf>
    <xf numFmtId="0" fontId="5" fillId="0" borderId="0" applyFont="0" applyFill="0" applyBorder="0" applyAlignment="0" applyProtection="0"/>
    <xf numFmtId="0" fontId="5" fillId="0" borderId="0"/>
    <xf numFmtId="0" fontId="5" fillId="0" borderId="0"/>
    <xf numFmtId="0" fontId="24" fillId="0" borderId="0"/>
    <xf numFmtId="0" fontId="24" fillId="0" borderId="0"/>
    <xf numFmtId="0" fontId="24"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3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190" fontId="5" fillId="0" borderId="0" applyFont="0" applyFill="0" applyBorder="0" applyAlignment="0" applyProtection="0"/>
    <xf numFmtId="191" fontId="47" fillId="0" borderId="19" applyFont="0" applyFill="0" applyBorder="0" applyProtection="0">
      <alignment horizontal="right"/>
    </xf>
    <xf numFmtId="192"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38" fillId="0" borderId="0"/>
    <xf numFmtId="0" fontId="24" fillId="0" borderId="0"/>
    <xf numFmtId="0" fontId="24" fillId="0" borderId="0"/>
    <xf numFmtId="0" fontId="24" fillId="0" borderId="0"/>
    <xf numFmtId="0" fontId="5" fillId="0" borderId="0">
      <alignment horizontal="left" wrapText="1"/>
    </xf>
    <xf numFmtId="37" fontId="30" fillId="0" borderId="0" applyAlignment="0" applyProtection="0"/>
    <xf numFmtId="0" fontId="5" fillId="0" borderId="0">
      <alignment horizontal="left" wrapText="1"/>
    </xf>
    <xf numFmtId="0" fontId="5" fillId="0" borderId="0" applyNumberFormat="0" applyFill="0" applyBorder="0" applyAlignment="0" applyProtection="0"/>
    <xf numFmtId="0" fontId="5" fillId="0" borderId="0" applyNumberFormat="0" applyFill="0" applyBorder="0" applyAlignment="0" applyProtection="0"/>
    <xf numFmtId="37" fontId="30" fillId="0" borderId="0" applyAlignment="0" applyProtection="0"/>
    <xf numFmtId="0" fontId="5" fillId="0" borderId="0" applyFont="0" applyFill="0" applyBorder="0" applyAlignment="0" applyProtection="0"/>
    <xf numFmtId="37" fontId="30" fillId="0" borderId="0" applyAlignment="0" applyProtection="0"/>
    <xf numFmtId="0" fontId="24" fillId="0" borderId="0"/>
    <xf numFmtId="0" fontId="24" fillId="0" borderId="0"/>
    <xf numFmtId="0" fontId="5"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24" fillId="0" borderId="0"/>
    <xf numFmtId="0" fontId="5" fillId="0" borderId="0"/>
    <xf numFmtId="0" fontId="5" fillId="0" borderId="0"/>
    <xf numFmtId="0" fontId="5" fillId="0" borderId="0">
      <alignment horizontal="left" wrapText="1"/>
    </xf>
    <xf numFmtId="0" fontId="40" fillId="0" borderId="0">
      <alignment vertical="center"/>
    </xf>
    <xf numFmtId="0" fontId="5" fillId="0" borderId="0">
      <alignment horizontal="left" wrapText="1"/>
    </xf>
    <xf numFmtId="0" fontId="38" fillId="0" borderId="0"/>
    <xf numFmtId="0" fontId="24" fillId="0" borderId="0"/>
    <xf numFmtId="0" fontId="24" fillId="0" borderId="0"/>
    <xf numFmtId="0" fontId="24" fillId="0" borderId="0"/>
    <xf numFmtId="0" fontId="25" fillId="0" borderId="0"/>
    <xf numFmtId="0" fontId="5" fillId="0" borderId="0">
      <alignment horizontal="left" wrapText="1"/>
    </xf>
    <xf numFmtId="0" fontId="5" fillId="0" borderId="0"/>
    <xf numFmtId="0" fontId="5" fillId="0" borderId="0"/>
    <xf numFmtId="0" fontId="5" fillId="0" borderId="0">
      <alignment horizontal="left" wrapText="1"/>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5" fillId="0" borderId="0"/>
    <xf numFmtId="0" fontId="5" fillId="0" borderId="0"/>
    <xf numFmtId="0" fontId="24" fillId="0" borderId="0"/>
    <xf numFmtId="0" fontId="5" fillId="0" borderId="0"/>
    <xf numFmtId="0" fontId="5" fillId="0" borderId="0"/>
    <xf numFmtId="0" fontId="5" fillId="0" borderId="0"/>
    <xf numFmtId="0" fontId="35" fillId="0" borderId="0"/>
    <xf numFmtId="0" fontId="5"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5" fillId="0" borderId="0"/>
    <xf numFmtId="0" fontId="5" fillId="0" borderId="0"/>
    <xf numFmtId="0" fontId="24" fillId="0" borderId="0"/>
    <xf numFmtId="0" fontId="5" fillId="0" borderId="0">
      <alignment horizontal="left" wrapText="1"/>
    </xf>
    <xf numFmtId="0" fontId="5" fillId="0" borderId="0">
      <alignment horizontal="left" wrapText="1"/>
    </xf>
    <xf numFmtId="0" fontId="35"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alignment horizontal="left" wrapText="1"/>
    </xf>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5" fillId="0" borderId="0"/>
    <xf numFmtId="0" fontId="5" fillId="0" borderId="0">
      <alignment horizontal="left" wrapText="1"/>
    </xf>
    <xf numFmtId="0" fontId="5" fillId="0" borderId="0" applyFont="0" applyFill="0" applyBorder="0" applyAlignment="0" applyProtection="0"/>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7" fillId="0" borderId="19" applyNumberFormat="0" applyFill="0" applyAlignment="0" applyProtection="0"/>
    <xf numFmtId="0" fontId="49" fillId="0" borderId="20" applyNumberFormat="0" applyFill="0" applyProtection="0">
      <alignment horizontal="center"/>
    </xf>
    <xf numFmtId="0" fontId="49" fillId="0" borderId="0" applyNumberFormat="0" applyFill="0" applyBorder="0" applyProtection="0">
      <alignment horizontal="left"/>
    </xf>
    <xf numFmtId="0" fontId="50" fillId="0" borderId="0" applyNumberFormat="0" applyFill="0" applyBorder="0" applyProtection="0">
      <alignment horizontal="centerContinuous"/>
    </xf>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193" fontId="5" fillId="0" borderId="0" applyFont="0" applyFill="0" applyBorder="0" applyAlignment="0" applyProtection="0"/>
    <xf numFmtId="194" fontId="5" fillId="0" borderId="0" applyFont="0" applyFill="0" applyBorder="0" applyAlignment="0" applyProtection="0"/>
    <xf numFmtId="195" fontId="51" fillId="0" borderId="0">
      <alignment horizontal="right" vertical="center"/>
    </xf>
    <xf numFmtId="0" fontId="23" fillId="0" borderId="0"/>
    <xf numFmtId="41" fontId="5" fillId="0" borderId="0" applyFont="0" applyFill="0" applyBorder="0" applyAlignment="0" applyProtection="0"/>
    <xf numFmtId="0" fontId="5" fillId="0" borderId="0"/>
    <xf numFmtId="0" fontId="5" fillId="0" borderId="0"/>
    <xf numFmtId="0" fontId="39" fillId="0" borderId="0"/>
    <xf numFmtId="9" fontId="5" fillId="0" borderId="0"/>
    <xf numFmtId="0" fontId="35" fillId="0" borderId="0"/>
    <xf numFmtId="0" fontId="35" fillId="0" borderId="0"/>
    <xf numFmtId="0" fontId="39" fillId="0" borderId="0"/>
    <xf numFmtId="0" fontId="39" fillId="0" borderId="0"/>
    <xf numFmtId="2" fontId="39" fillId="0" borderId="0"/>
    <xf numFmtId="10" fontId="39" fillId="0" borderId="0"/>
    <xf numFmtId="0" fontId="39" fillId="0" borderId="0"/>
    <xf numFmtId="0" fontId="39" fillId="0" borderId="0"/>
    <xf numFmtId="196" fontId="52" fillId="0" borderId="0" applyFont="0" applyFill="0" applyBorder="0" applyAlignment="0" applyProtection="0"/>
    <xf numFmtId="197" fontId="53" fillId="0" borderId="0" applyFont="0" applyBorder="0"/>
    <xf numFmtId="197" fontId="53" fillId="0" borderId="0" applyFont="0" applyBorder="0"/>
    <xf numFmtId="0"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0" fontId="53" fillId="0" borderId="0" applyFont="0" applyBorder="0"/>
    <xf numFmtId="0" fontId="53" fillId="0" borderId="0" applyFont="0" applyBorder="0"/>
    <xf numFmtId="0" fontId="53" fillId="0" borderId="0" applyFont="0" applyBorder="0"/>
    <xf numFmtId="0" fontId="54" fillId="35" borderId="0" applyNumberFormat="0" applyAlignment="0" applyProtection="0"/>
    <xf numFmtId="0" fontId="53" fillId="0" borderId="0" applyFont="0" applyBorder="0"/>
    <xf numFmtId="0" fontId="53" fillId="0" borderId="0" applyFont="0" applyBorder="0"/>
    <xf numFmtId="197" fontId="53" fillId="0" borderId="0" applyFont="0" applyBorder="0"/>
    <xf numFmtId="0" fontId="53" fillId="0" borderId="0" applyFont="0" applyBorder="0"/>
    <xf numFmtId="0" fontId="53" fillId="0" borderId="0" applyFont="0" applyBorder="0"/>
    <xf numFmtId="197"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197" fontId="53" fillId="0" borderId="0" applyFont="0" applyBorder="0"/>
    <xf numFmtId="0" fontId="53" fillId="0" borderId="0" applyFont="0" applyBorder="0"/>
    <xf numFmtId="197" fontId="53" fillId="0" borderId="0" applyFont="0" applyBorder="0"/>
    <xf numFmtId="0" fontId="53" fillId="0" borderId="0" applyFont="0" applyBorder="0"/>
    <xf numFmtId="0" fontId="53" fillId="0" borderId="0" applyFont="0" applyBorder="0"/>
    <xf numFmtId="0" fontId="53" fillId="0" borderId="0" applyFont="0" applyBorder="0"/>
    <xf numFmtId="0" fontId="5" fillId="0" borderId="0"/>
    <xf numFmtId="197" fontId="53" fillId="0" borderId="0" applyFont="0" applyBorder="0"/>
    <xf numFmtId="197"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0" fontId="53" fillId="0" borderId="0" applyFont="0" applyBorder="0"/>
    <xf numFmtId="0" fontId="53" fillId="0" borderId="0" applyFont="0" applyBorder="0"/>
    <xf numFmtId="197" fontId="53" fillId="0" borderId="0" applyFont="0" applyBorder="0"/>
    <xf numFmtId="197" fontId="53" fillId="0" borderId="0" applyFont="0" applyBorder="0"/>
    <xf numFmtId="197" fontId="53" fillId="0" borderId="0" applyFont="0" applyBorder="0"/>
    <xf numFmtId="0" fontId="53" fillId="0" borderId="0" applyFont="0" applyBorder="0"/>
    <xf numFmtId="0"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0" fontId="53" fillId="0" borderId="0" applyFont="0" applyBorder="0"/>
    <xf numFmtId="197" fontId="53" fillId="0" borderId="0" applyFont="0" applyBorder="0"/>
    <xf numFmtId="0" fontId="53" fillId="0" borderId="0" applyFont="0" applyBorder="0"/>
    <xf numFmtId="198" fontId="23" fillId="0" borderId="0" applyFont="0" applyFill="0" applyBorder="0" applyAlignment="0" applyProtection="0">
      <protection locked="0"/>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200" fontId="56" fillId="0" borderId="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 fillId="0" borderId="0"/>
    <xf numFmtId="0" fontId="22" fillId="11" borderId="0" applyNumberFormat="0" applyBorder="0" applyAlignment="0" applyProtection="0"/>
    <xf numFmtId="0" fontId="57" fillId="37" borderId="0"/>
    <xf numFmtId="0" fontId="58" fillId="12" borderId="0" applyNumberFormat="0" applyBorder="0" applyAlignment="0" applyProtection="0"/>
    <xf numFmtId="37" fontId="59" fillId="0" borderId="0">
      <alignment horizontal="center"/>
    </xf>
    <xf numFmtId="0" fontId="5" fillId="36" borderId="2">
      <alignment horizontal="center" wrapText="1"/>
    </xf>
    <xf numFmtId="0" fontId="5" fillId="36" borderId="2">
      <alignment horizontal="center" wrapText="1"/>
    </xf>
    <xf numFmtId="0" fontId="5" fillId="36" borderId="2">
      <alignment horizontal="center" wrapText="1"/>
    </xf>
    <xf numFmtId="0" fontId="5" fillId="36" borderId="2">
      <alignment horizontal="center" wrapText="1"/>
    </xf>
    <xf numFmtId="0" fontId="5" fillId="36" borderId="2">
      <alignment horizontal="center" wrapText="1"/>
    </xf>
    <xf numFmtId="0" fontId="5" fillId="0" borderId="0" applyNumberFormat="0"/>
    <xf numFmtId="0" fontId="5" fillId="33" borderId="0"/>
    <xf numFmtId="9" fontId="39" fillId="0" borderId="0" applyFont="0" applyFill="0" applyBorder="0" applyAlignment="0" applyProtection="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0" fontId="5" fillId="0" borderId="22" applyFont="0" applyBorder="0"/>
    <xf numFmtId="41" fontId="30" fillId="0" borderId="0" applyFont="0" applyFill="0" applyBorder="0" applyAlignment="0" applyProtection="0"/>
    <xf numFmtId="201" fontId="30" fillId="0" borderId="0" applyFont="0" applyFill="0" applyBorder="0" applyAlignment="0" applyProtection="0"/>
    <xf numFmtId="43" fontId="30" fillId="0" borderId="0" applyFont="0" applyFill="0" applyBorder="0" applyAlignment="0" applyProtection="0"/>
    <xf numFmtId="42" fontId="30" fillId="0" borderId="0" applyFont="0" applyFill="0" applyBorder="0" applyAlignment="0" applyProtection="0"/>
    <xf numFmtId="202" fontId="30" fillId="0" borderId="0" applyFont="0" applyFill="0" applyBorder="0" applyAlignment="0" applyProtection="0"/>
    <xf numFmtId="44" fontId="30" fillId="0" borderId="0" applyFont="0" applyFill="0" applyBorder="0" applyAlignment="0" applyProtection="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203" fontId="62" fillId="0" borderId="0" applyFont="0" applyFill="0" applyBorder="0" applyAlignment="0" applyProtection="0"/>
    <xf numFmtId="204" fontId="43" fillId="38" borderId="23">
      <alignment horizontal="center" vertical="center"/>
    </xf>
    <xf numFmtId="204" fontId="43" fillId="38" borderId="23">
      <alignment horizontal="center" vertical="center"/>
    </xf>
    <xf numFmtId="0" fontId="63" fillId="37" borderId="0" applyNumberFormat="0" applyBorder="0" applyAlignment="0" applyProtection="0"/>
    <xf numFmtId="0" fontId="39" fillId="0" borderId="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0" applyBorder="0" applyAlignment="0"/>
    <xf numFmtId="0" fontId="64" fillId="33" borderId="18">
      <alignment horizontal="center"/>
    </xf>
    <xf numFmtId="0" fontId="65" fillId="0" borderId="0">
      <alignment horizontal="center" wrapText="1"/>
      <protection locked="0"/>
    </xf>
    <xf numFmtId="0" fontId="66" fillId="33" borderId="24" applyNumberFormat="0" applyAlignment="0" applyProtection="0"/>
    <xf numFmtId="0" fontId="66" fillId="33" borderId="24" applyNumberFormat="0" applyAlignment="0" applyProtection="0"/>
    <xf numFmtId="0" fontId="66" fillId="33" borderId="24" applyNumberFormat="0" applyAlignment="0" applyProtection="0"/>
    <xf numFmtId="37" fontId="52" fillId="0" borderId="2"/>
    <xf numFmtId="37" fontId="52" fillId="0" borderId="2"/>
    <xf numFmtId="37" fontId="52" fillId="0" borderId="2"/>
    <xf numFmtId="37" fontId="52" fillId="0" borderId="2"/>
    <xf numFmtId="0" fontId="5" fillId="0" borderId="0"/>
    <xf numFmtId="0" fontId="67" fillId="0" borderId="0"/>
    <xf numFmtId="0" fontId="52" fillId="39" borderId="0" applyNumberFormat="0" applyFont="0" applyBorder="0" applyAlignment="0" applyProtection="0"/>
    <xf numFmtId="205" fontId="32" fillId="0" borderId="2"/>
    <xf numFmtId="205" fontId="32" fillId="0" borderId="2"/>
    <xf numFmtId="205" fontId="32" fillId="0" borderId="2"/>
    <xf numFmtId="205" fontId="32" fillId="0" borderId="2"/>
    <xf numFmtId="206" fontId="65" fillId="0" borderId="0" applyFont="0" applyFill="0" applyBorder="0" applyAlignment="0" applyProtection="0"/>
    <xf numFmtId="207" fontId="5" fillId="0" borderId="0" applyFont="0" applyFill="0" applyBorder="0" applyAlignment="0" applyProtection="0"/>
    <xf numFmtId="208" fontId="5" fillId="0" borderId="0" applyFont="0" applyFill="0" applyBorder="0" applyAlignment="0" applyProtection="0"/>
    <xf numFmtId="208" fontId="5" fillId="0" borderId="0" applyFont="0" applyFill="0" applyBorder="0" applyAlignment="0" applyProtection="0"/>
    <xf numFmtId="0" fontId="68" fillId="0" borderId="25" applyFont="0" applyBorder="0" applyAlignment="0">
      <alignment vertical="center"/>
    </xf>
    <xf numFmtId="0" fontId="68" fillId="0" borderId="25" applyFont="0" applyBorder="0" applyAlignment="0">
      <alignment vertical="center"/>
    </xf>
    <xf numFmtId="3" fontId="41" fillId="0" borderId="26" applyNumberFormat="0" applyFill="0" applyBorder="0" applyAlignment="0" applyProtection="0">
      <alignment horizontal="left"/>
    </xf>
    <xf numFmtId="3" fontId="41" fillId="0" borderId="26" applyNumberFormat="0" applyFill="0" applyBorder="0" applyAlignment="0" applyProtection="0">
      <alignment horizontal="left"/>
    </xf>
    <xf numFmtId="3" fontId="41" fillId="0" borderId="26" applyNumberFormat="0" applyFill="0" applyBorder="0" applyAlignment="0" applyProtection="0">
      <alignment horizontal="left"/>
    </xf>
    <xf numFmtId="3" fontId="41" fillId="0" borderId="26" applyNumberFormat="0" applyFill="0" applyBorder="0" applyAlignment="0" applyProtection="0">
      <alignment horizontal="left"/>
    </xf>
    <xf numFmtId="3" fontId="69" fillId="0" borderId="0" applyNumberFormat="0" applyFill="0" applyBorder="0" applyAlignment="0" applyProtection="0">
      <alignment horizontal="center"/>
    </xf>
    <xf numFmtId="3" fontId="41" fillId="0" borderId="26" applyNumberFormat="0" applyFill="0" applyBorder="0" applyAlignment="0" applyProtection="0">
      <alignment horizontal="left"/>
    </xf>
    <xf numFmtId="0" fontId="5" fillId="0" borderId="27" applyNumberFormat="0">
      <alignment horizontal="center" vertical="top" wrapText="1"/>
      <protection locked="0"/>
    </xf>
    <xf numFmtId="0" fontId="5" fillId="0" borderId="27" applyNumberFormat="0">
      <alignment horizontal="center" vertical="top" wrapText="1"/>
      <protection locked="0"/>
    </xf>
    <xf numFmtId="0" fontId="5" fillId="0" borderId="27" applyNumberFormat="0">
      <alignment horizontal="center" vertical="top" wrapText="1"/>
      <protection locked="0"/>
    </xf>
    <xf numFmtId="0" fontId="70" fillId="0" borderId="0" applyNumberFormat="0" applyFill="0" applyBorder="0" applyAlignment="0" applyProtection="0"/>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0" fontId="70" fillId="0" borderId="0" applyNumberFormat="0" applyFill="0" applyBorder="0" applyAlignment="0" applyProtection="0"/>
    <xf numFmtId="0" fontId="72" fillId="0" borderId="0" applyNumberFormat="0" applyFill="0" applyBorder="0" applyAlignment="0" applyProtection="0"/>
    <xf numFmtId="209" fontId="73" fillId="0" borderId="28"/>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210" fontId="23" fillId="0" borderId="0">
      <alignment horizontal="center"/>
    </xf>
    <xf numFmtId="15" fontId="75" fillId="0" borderId="0" applyNumberFormat="0">
      <alignment horizontal="center"/>
    </xf>
    <xf numFmtId="0" fontId="76" fillId="0" borderId="29"/>
    <xf numFmtId="38" fontId="77" fillId="0" borderId="16" applyNumberFormat="0" applyFont="0" applyFill="0" applyAlignment="0" applyProtection="0">
      <alignment horizontal="right"/>
    </xf>
    <xf numFmtId="0" fontId="38" fillId="0" borderId="30"/>
    <xf numFmtId="0" fontId="38" fillId="0" borderId="30"/>
    <xf numFmtId="0" fontId="38" fillId="0" borderId="30"/>
    <xf numFmtId="0" fontId="38" fillId="0" borderId="30"/>
    <xf numFmtId="0" fontId="38" fillId="0" borderId="30"/>
    <xf numFmtId="0" fontId="38" fillId="0" borderId="30"/>
    <xf numFmtId="0" fontId="38" fillId="0" borderId="30"/>
    <xf numFmtId="0" fontId="38" fillId="0" borderId="30"/>
    <xf numFmtId="0" fontId="38" fillId="0" borderId="0"/>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0" fontId="65" fillId="0" borderId="31"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38" fontId="77" fillId="0" borderId="33" applyNumberFormat="0" applyFont="0" applyFill="0" applyAlignment="0" applyProtection="0">
      <alignment horizontal="right"/>
    </xf>
    <xf numFmtId="3" fontId="63" fillId="36" borderId="0" applyNumberFormat="0" applyBorder="0" applyAlignment="0" applyProtection="0"/>
    <xf numFmtId="0" fontId="78" fillId="0" borderId="34" applyNumberFormat="0" applyFont="0" applyFill="0" applyAlignment="0" applyProtection="0"/>
    <xf numFmtId="0" fontId="78" fillId="0" borderId="34" applyNumberFormat="0" applyFont="0" applyFill="0" applyAlignment="0" applyProtection="0"/>
    <xf numFmtId="0" fontId="78" fillId="0" borderId="34"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6" applyNumberFormat="0" applyFont="0" applyFill="0" applyAlignment="0" applyProtection="0"/>
    <xf numFmtId="0" fontId="78" fillId="0" borderId="36" applyNumberFormat="0" applyFont="0" applyFill="0" applyAlignment="0" applyProtection="0"/>
    <xf numFmtId="0" fontId="78" fillId="0" borderId="36"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80" fillId="0" borderId="37"/>
    <xf numFmtId="0" fontId="80" fillId="0" borderId="37"/>
    <xf numFmtId="0" fontId="80" fillId="0" borderId="37"/>
    <xf numFmtId="0" fontId="81" fillId="0" borderId="38" applyFill="0" applyProtection="0">
      <alignment horizontal="right"/>
    </xf>
    <xf numFmtId="0" fontId="81" fillId="0" borderId="38" applyFill="0" applyProtection="0">
      <alignment horizontal="right"/>
    </xf>
    <xf numFmtId="0" fontId="81" fillId="0" borderId="38" applyFill="0" applyProtection="0">
      <alignment horizontal="right"/>
    </xf>
    <xf numFmtId="211" fontId="82" fillId="40" borderId="0" applyFont="0" applyFill="0" applyBorder="0" applyAlignment="0" applyProtection="0"/>
    <xf numFmtId="212" fontId="5" fillId="0" borderId="0" applyFont="0" applyFill="0" applyBorder="0" applyAlignment="0" applyProtection="0"/>
    <xf numFmtId="0" fontId="83" fillId="41" borderId="0"/>
    <xf numFmtId="0" fontId="83" fillId="42" borderId="0"/>
    <xf numFmtId="0" fontId="84" fillId="0" borderId="0"/>
    <xf numFmtId="0" fontId="84" fillId="0" borderId="0"/>
    <xf numFmtId="0" fontId="84" fillId="0" borderId="0"/>
    <xf numFmtId="0" fontId="83" fillId="43" borderId="0"/>
    <xf numFmtId="41" fontId="35" fillId="0" borderId="0" applyFill="0"/>
    <xf numFmtId="213" fontId="52" fillId="0" borderId="0">
      <alignment horizontal="center"/>
    </xf>
    <xf numFmtId="0" fontId="52" fillId="0" borderId="0" applyFill="0">
      <alignment horizontal="center"/>
    </xf>
    <xf numFmtId="41" fontId="74" fillId="0" borderId="29" applyFill="0"/>
    <xf numFmtId="0" fontId="5" fillId="0" borderId="0" applyFont="0" applyAlignment="0"/>
    <xf numFmtId="0" fontId="85" fillId="0" borderId="0" applyFill="0">
      <alignment vertical="top"/>
    </xf>
    <xf numFmtId="0" fontId="86" fillId="0" borderId="0" applyFill="0">
      <alignment horizontal="left" vertical="top"/>
    </xf>
    <xf numFmtId="41" fontId="74" fillId="0" borderId="39" applyFill="0"/>
    <xf numFmtId="41" fontId="74" fillId="0" borderId="39" applyFill="0"/>
    <xf numFmtId="41" fontId="74" fillId="0" borderId="39" applyFill="0"/>
    <xf numFmtId="41" fontId="74" fillId="0" borderId="39" applyFill="0"/>
    <xf numFmtId="41" fontId="74" fillId="0" borderId="39" applyFill="0"/>
    <xf numFmtId="41" fontId="74" fillId="0" borderId="39" applyFill="0"/>
    <xf numFmtId="0" fontId="5" fillId="0" borderId="0" applyNumberFormat="0" applyFont="0" applyAlignment="0"/>
    <xf numFmtId="0" fontId="85" fillId="0" borderId="0" applyFill="0">
      <alignment wrapText="1"/>
    </xf>
    <xf numFmtId="0" fontId="86" fillId="0" borderId="0" applyFill="0">
      <alignment horizontal="left" vertical="top" wrapText="1"/>
    </xf>
    <xf numFmtId="41" fontId="74" fillId="0" borderId="0" applyFill="0"/>
    <xf numFmtId="0" fontId="87" fillId="0" borderId="0" applyNumberFormat="0" applyFont="0" applyAlignment="0">
      <alignment horizontal="center"/>
    </xf>
    <xf numFmtId="0" fontId="88" fillId="0" borderId="0" applyFill="0">
      <alignment vertical="top" wrapText="1"/>
    </xf>
    <xf numFmtId="0" fontId="89" fillId="0" borderId="0" applyFill="0">
      <alignment horizontal="left" vertical="top" wrapText="1"/>
    </xf>
    <xf numFmtId="41" fontId="35" fillId="0" borderId="0" applyFill="0"/>
    <xf numFmtId="0" fontId="87" fillId="0" borderId="0" applyNumberFormat="0" applyFont="0" applyAlignment="0">
      <alignment horizontal="center"/>
    </xf>
    <xf numFmtId="0" fontId="90" fillId="0" borderId="0" applyFill="0">
      <alignment vertical="center" wrapText="1"/>
    </xf>
    <xf numFmtId="0" fontId="91" fillId="0" borderId="0">
      <alignment horizontal="left" vertical="center" wrapText="1"/>
    </xf>
    <xf numFmtId="41" fontId="35" fillId="0" borderId="0" applyFill="0"/>
    <xf numFmtId="0" fontId="87" fillId="0" borderId="0" applyNumberFormat="0" applyFont="0" applyAlignment="0">
      <alignment horizontal="center"/>
    </xf>
    <xf numFmtId="0" fontId="92" fillId="0" borderId="0" applyFill="0">
      <alignment horizontal="center" vertical="center" wrapText="1"/>
    </xf>
    <xf numFmtId="0" fontId="5" fillId="0" borderId="0" applyFill="0">
      <alignment horizontal="center" vertical="center" wrapText="1"/>
    </xf>
    <xf numFmtId="41" fontId="93" fillId="0" borderId="0" applyFill="0"/>
    <xf numFmtId="0" fontId="87" fillId="0" borderId="0" applyNumberFormat="0" applyFont="0" applyAlignment="0">
      <alignment horizontal="center"/>
    </xf>
    <xf numFmtId="0" fontId="94" fillId="0" borderId="0" applyFill="0">
      <alignment horizontal="center" vertical="center" wrapText="1"/>
    </xf>
    <xf numFmtId="0" fontId="95" fillId="0" borderId="0" applyFill="0">
      <alignment horizontal="center" vertical="center" wrapText="1"/>
    </xf>
    <xf numFmtId="41" fontId="93" fillId="0" borderId="0" applyFill="0"/>
    <xf numFmtId="0" fontId="87" fillId="0" borderId="0" applyNumberFormat="0" applyFont="0" applyAlignment="0">
      <alignment horizontal="center"/>
    </xf>
    <xf numFmtId="0" fontId="96" fillId="0" borderId="0">
      <alignment horizontal="center" wrapText="1"/>
    </xf>
    <xf numFmtId="0" fontId="97" fillId="0" borderId="0" applyFill="0">
      <alignment horizontal="center" wrapText="1"/>
    </xf>
    <xf numFmtId="214" fontId="52" fillId="44" borderId="18"/>
    <xf numFmtId="195" fontId="23" fillId="0" borderId="0" applyFill="0" applyBorder="0" applyAlignment="0"/>
    <xf numFmtId="209" fontId="67" fillId="0" borderId="0" applyFill="0" applyBorder="0" applyAlignment="0"/>
    <xf numFmtId="215" fontId="67" fillId="0" borderId="0" applyFill="0" applyBorder="0" applyAlignment="0"/>
    <xf numFmtId="216" fontId="5" fillId="0" borderId="0" applyFill="0" applyBorder="0" applyAlignment="0"/>
    <xf numFmtId="217" fontId="39" fillId="0" borderId="0" applyFill="0" applyBorder="0" applyAlignment="0"/>
    <xf numFmtId="42" fontId="39" fillId="0" borderId="0" applyFill="0" applyBorder="0" applyAlignment="0"/>
    <xf numFmtId="218" fontId="5" fillId="0" borderId="0" applyFill="0" applyBorder="0" applyAlignment="0"/>
    <xf numFmtId="209" fontId="67" fillId="0" borderId="0" applyFill="0" applyBorder="0" applyAlignment="0"/>
    <xf numFmtId="37" fontId="5" fillId="45" borderId="2" applyFill="0" applyBorder="0"/>
    <xf numFmtId="37" fontId="5" fillId="45" borderId="2" applyFill="0" applyBorder="0"/>
    <xf numFmtId="37" fontId="5" fillId="45" borderId="2" applyFill="0" applyBorder="0"/>
    <xf numFmtId="37" fontId="5" fillId="45" borderId="2" applyFill="0" applyBorder="0"/>
    <xf numFmtId="37" fontId="5" fillId="45" borderId="2" applyFill="0" applyBorder="0"/>
    <xf numFmtId="181" fontId="5" fillId="0" borderId="0" applyFill="0" applyBorder="0"/>
    <xf numFmtId="39" fontId="5" fillId="0" borderId="0" applyFill="0" applyBorder="0"/>
    <xf numFmtId="219" fontId="5" fillId="0" borderId="0" applyFill="0" applyBorder="0"/>
    <xf numFmtId="220" fontId="5" fillId="0" borderId="0" applyFill="0" applyBorder="0"/>
    <xf numFmtId="221" fontId="5" fillId="0" borderId="0" applyFill="0" applyBorder="0"/>
    <xf numFmtId="222" fontId="5" fillId="0" borderId="0" applyFill="0" applyBorder="0"/>
    <xf numFmtId="223" fontId="5" fillId="0" borderId="0" applyFill="0" applyBorder="0"/>
    <xf numFmtId="224" fontId="5" fillId="0" borderId="0" applyFill="0" applyBorder="0"/>
    <xf numFmtId="202" fontId="5" fillId="0" borderId="18" applyFill="0" applyBorder="0"/>
    <xf numFmtId="9" fontId="5" fillId="0" borderId="0" applyFill="0" applyBorder="0"/>
    <xf numFmtId="173" fontId="5" fillId="0" borderId="0" applyFill="0" applyBorder="0"/>
    <xf numFmtId="10" fontId="5" fillId="0" borderId="0" applyFill="0" applyBorder="0"/>
    <xf numFmtId="3" fontId="98" fillId="0" borderId="0" applyNumberFormat="0" applyFill="0" applyBorder="0" applyAlignment="0" applyProtection="0"/>
    <xf numFmtId="206" fontId="99" fillId="0" borderId="0" applyFont="0" applyFill="0" applyBorder="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23" fillId="0" borderId="0" applyNumberFormat="0" applyProtection="0"/>
    <xf numFmtId="0" fontId="23" fillId="0" borderId="0" applyNumberFormat="0" applyProtection="0"/>
    <xf numFmtId="49" fontId="5" fillId="0" borderId="0">
      <alignment horizontal="left"/>
      <protection locked="0"/>
    </xf>
    <xf numFmtId="49" fontId="5" fillId="0" borderId="0">
      <alignment horizontal="left"/>
      <protection locked="0"/>
    </xf>
    <xf numFmtId="49" fontId="5" fillId="0" borderId="0">
      <alignment horizontal="left"/>
      <protection locked="0"/>
    </xf>
    <xf numFmtId="0" fontId="5" fillId="0" borderId="0" applyNumberFormat="0" applyFont="0" applyFill="0" applyBorder="0">
      <alignment horizontal="center"/>
    </xf>
    <xf numFmtId="39" fontId="5" fillId="0" borderId="0" applyFill="0" applyBorder="0">
      <alignment horizontal="center"/>
    </xf>
    <xf numFmtId="0" fontId="43" fillId="0" borderId="0" applyFill="0" applyBorder="0" applyProtection="0">
      <alignment horizontal="center"/>
      <protection locked="0"/>
    </xf>
    <xf numFmtId="0" fontId="52" fillId="0" borderId="0" applyFont="0" applyFill="0" applyBorder="0" applyAlignment="0" applyProtection="0"/>
    <xf numFmtId="0" fontId="52" fillId="0" borderId="0" applyFont="0" applyFill="0" applyBorder="0" applyAlignment="0" applyProtection="0"/>
    <xf numFmtId="8" fontId="5" fillId="0" borderId="40" applyFont="0" applyFill="0" applyBorder="0" applyProtection="0">
      <alignment horizontal="right"/>
    </xf>
    <xf numFmtId="225" fontId="100" fillId="0" borderId="0"/>
    <xf numFmtId="1" fontId="101" fillId="0" borderId="0"/>
    <xf numFmtId="0" fontId="5" fillId="0" borderId="0"/>
    <xf numFmtId="0" fontId="5" fillId="0" borderId="0"/>
    <xf numFmtId="0" fontId="5" fillId="0" borderId="0"/>
    <xf numFmtId="0" fontId="5" fillId="0" borderId="2" applyNumberFormat="0">
      <alignment horizontal="center"/>
      <protection locked="0"/>
    </xf>
    <xf numFmtId="0" fontId="5" fillId="0" borderId="2" applyNumberFormat="0">
      <alignment horizontal="center"/>
      <protection locked="0"/>
    </xf>
    <xf numFmtId="0" fontId="5" fillId="0" borderId="2" applyNumberFormat="0">
      <alignment horizontal="center"/>
      <protection locked="0"/>
    </xf>
    <xf numFmtId="0" fontId="5" fillId="0" borderId="2" applyNumberFormat="0">
      <alignment horizontal="center"/>
      <protection locked="0"/>
    </xf>
    <xf numFmtId="0" fontId="5" fillId="0" borderId="2" applyNumberFormat="0">
      <alignment horizontal="center"/>
      <protection locked="0"/>
    </xf>
    <xf numFmtId="0" fontId="102" fillId="0" borderId="0"/>
    <xf numFmtId="0" fontId="52" fillId="0" borderId="0" applyNumberFormat="0" applyFill="0" applyBorder="0" applyAlignment="0" applyProtection="0"/>
    <xf numFmtId="0" fontId="103"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226" fontId="104" fillId="0" borderId="0" applyFont="0" applyFill="0" applyBorder="0" applyAlignment="0" applyProtection="0">
      <alignment horizontal="left" vertical="center"/>
    </xf>
    <xf numFmtId="0" fontId="63" fillId="47" borderId="41" applyFont="0" applyFill="0" applyBorder="0"/>
    <xf numFmtId="0" fontId="52" fillId="0" borderId="15"/>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49" fontId="5" fillId="0" borderId="2" applyFont="0">
      <alignment horizontal="center" wrapText="1"/>
    </xf>
    <xf numFmtId="49" fontId="5" fillId="0" borderId="2" applyFont="0">
      <alignment horizontal="center" wrapText="1"/>
    </xf>
    <xf numFmtId="49" fontId="5" fillId="0" borderId="2" applyFont="0">
      <alignment horizontal="center" wrapText="1"/>
    </xf>
    <xf numFmtId="49" fontId="5" fillId="0" borderId="2" applyFont="0">
      <alignment horizontal="center" wrapText="1"/>
    </xf>
    <xf numFmtId="49" fontId="5" fillId="0" borderId="2" applyFont="0">
      <alignment horizontal="center" wrapText="1"/>
    </xf>
    <xf numFmtId="38" fontId="106" fillId="0" borderId="0" applyNumberFormat="0" applyFill="0" applyBorder="0" applyAlignment="0" applyProtection="0">
      <protection locked="0"/>
    </xf>
    <xf numFmtId="38" fontId="107" fillId="0" borderId="0" applyNumberFormat="0" applyFill="0" applyBorder="0" applyAlignment="0" applyProtection="0">
      <protection locked="0"/>
    </xf>
    <xf numFmtId="0" fontId="52" fillId="0" borderId="0" applyNumberFormat="0" applyFill="0" applyBorder="0" applyProtection="0">
      <alignment horizontal="center" wrapText="1"/>
    </xf>
    <xf numFmtId="0" fontId="39" fillId="0" borderId="0">
      <alignment horizontal="center" wrapText="1"/>
      <protection hidden="1"/>
    </xf>
    <xf numFmtId="38" fontId="108" fillId="0" borderId="0" applyNumberFormat="0" applyFill="0" applyBorder="0" applyAlignment="0" applyProtection="0">
      <protection locked="0"/>
    </xf>
    <xf numFmtId="4" fontId="63" fillId="48" borderId="41" applyNumberFormat="0" applyProtection="0">
      <alignment horizontal="right" wrapText="1"/>
    </xf>
    <xf numFmtId="227" fontId="109" fillId="0" borderId="0">
      <alignment horizontal="right"/>
    </xf>
    <xf numFmtId="228" fontId="5" fillId="0" borderId="0">
      <alignment horizontal="right"/>
    </xf>
    <xf numFmtId="228" fontId="5" fillId="0" borderId="0">
      <alignment horizontal="right"/>
    </xf>
    <xf numFmtId="38" fontId="39" fillId="0" borderId="0" applyFont="0" applyFill="0" applyBorder="0" applyAlignment="0" applyProtection="0"/>
    <xf numFmtId="229" fontId="110" fillId="0" borderId="0"/>
    <xf numFmtId="229" fontId="110" fillId="0" borderId="0"/>
    <xf numFmtId="229" fontId="110" fillId="0" borderId="0"/>
    <xf numFmtId="229" fontId="110" fillId="0" borderId="0"/>
    <xf numFmtId="229" fontId="110" fillId="0" borderId="0"/>
    <xf numFmtId="229" fontId="110" fillId="0" borderId="0"/>
    <xf numFmtId="229" fontId="110" fillId="0" borderId="0"/>
    <xf numFmtId="229" fontId="110" fillId="0" borderId="0"/>
    <xf numFmtId="206" fontId="23" fillId="0" borderId="0" applyFont="0" applyFill="0" applyBorder="0" applyAlignment="0" applyProtection="0">
      <protection locked="0"/>
    </xf>
    <xf numFmtId="40" fontId="23" fillId="0" borderId="0" applyFont="0" applyFill="0" applyBorder="0" applyAlignment="0" applyProtection="0">
      <protection locked="0"/>
    </xf>
    <xf numFmtId="230" fontId="32" fillId="0" borderId="0" applyFont="0" applyFill="0" applyBorder="0" applyProtection="0"/>
    <xf numFmtId="231" fontId="32" fillId="0" borderId="0" applyFont="0" applyFill="0" applyBorder="0" applyProtection="0"/>
    <xf numFmtId="41" fontId="5" fillId="0" borderId="0" applyFont="0" applyFill="0" applyBorder="0" applyAlignment="0" applyProtection="0"/>
    <xf numFmtId="42" fontId="39" fillId="0" borderId="0" applyFont="0" applyFill="0" applyBorder="0" applyAlignment="0" applyProtection="0"/>
    <xf numFmtId="0" fontId="111" fillId="0" borderId="0" applyFont="0" applyFill="0" applyBorder="0" applyAlignment="0" applyProtection="0">
      <alignment horizontal="right"/>
    </xf>
    <xf numFmtId="39" fontId="111" fillId="0" borderId="0" applyFont="0" applyFill="0" applyBorder="0" applyAlignment="0" applyProtection="0">
      <alignment horizontal="right"/>
    </xf>
    <xf numFmtId="232" fontId="5" fillId="0" borderId="0" applyFont="0" applyFill="0" applyBorder="0" applyAlignment="0" applyProtection="0">
      <alignment horizontal="right"/>
    </xf>
    <xf numFmtId="233" fontId="23" fillId="0" borderId="0" applyFont="0" applyFill="0" applyBorder="0" applyAlignment="0" applyProtection="0"/>
    <xf numFmtId="234" fontId="112" fillId="0" borderId="0" applyFont="0" applyFill="0" applyBorder="0" applyAlignment="0" applyProtection="0"/>
    <xf numFmtId="235" fontId="112" fillId="0" borderId="0" applyFont="0" applyFill="0" applyBorder="0" applyAlignment="0" applyProtection="0"/>
    <xf numFmtId="236" fontId="43" fillId="0" borderId="0" applyFont="0" applyFill="0" applyBorder="0" applyAlignment="0" applyProtection="0">
      <protection locked="0"/>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5"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35"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5"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1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5" fillId="0" borderId="0" applyFont="0" applyFill="0" applyBorder="0" applyAlignment="0" applyProtection="0"/>
    <xf numFmtId="40" fontId="5" fillId="0" borderId="0" applyFont="0" applyFill="0" applyBorder="0" applyProtection="0">
      <alignment horizontal="right"/>
    </xf>
    <xf numFmtId="37" fontId="116" fillId="0" borderId="0" applyFont="0" applyFill="0" applyBorder="0" applyAlignment="0" applyProtection="0"/>
    <xf numFmtId="0" fontId="5" fillId="0" borderId="0" applyFont="0" applyFill="0" applyBorder="0" applyAlignment="0" applyProtection="0"/>
    <xf numFmtId="237" fontId="23" fillId="0" borderId="0"/>
    <xf numFmtId="238" fontId="5" fillId="0" borderId="0" applyFont="0" applyFill="0" applyBorder="0" applyAlignment="0" applyProtection="0"/>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0" fontId="5" fillId="0" borderId="0">
      <protection locked="0"/>
    </xf>
    <xf numFmtId="0" fontId="117" fillId="0" borderId="0"/>
    <xf numFmtId="0" fontId="38" fillId="0" borderId="0"/>
    <xf numFmtId="209" fontId="38" fillId="0" borderId="0"/>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3" fontId="118" fillId="0" borderId="0" applyFont="0" applyFill="0" applyBorder="0" applyAlignment="0" applyProtection="0"/>
    <xf numFmtId="240" fontId="5" fillId="0" borderId="0" applyFont="0" applyFill="0" applyBorder="0" applyAlignment="0" applyProtection="0">
      <alignment horizontal="left"/>
    </xf>
    <xf numFmtId="0" fontId="117" fillId="0" borderId="0"/>
    <xf numFmtId="0" fontId="38" fillId="0" borderId="0"/>
    <xf numFmtId="0" fontId="38" fillId="0" borderId="0"/>
    <xf numFmtId="240" fontId="5" fillId="0" borderId="0" applyFont="0" applyFill="0" applyBorder="0" applyAlignment="0" applyProtection="0">
      <alignment horizontal="left"/>
    </xf>
    <xf numFmtId="240" fontId="5" fillId="0" borderId="0" applyFont="0" applyFill="0" applyBorder="0" applyAlignment="0" applyProtection="0">
      <alignment horizontal="left"/>
    </xf>
    <xf numFmtId="240" fontId="5" fillId="0" borderId="0" applyFont="0" applyFill="0" applyBorder="0">
      <alignment horizontal="right"/>
      <protection locked="0"/>
    </xf>
    <xf numFmtId="240" fontId="5" fillId="0" borderId="0" applyFont="0" applyFill="0" applyBorder="0">
      <alignment horizontal="right"/>
      <protection locked="0"/>
    </xf>
    <xf numFmtId="240" fontId="5" fillId="0" borderId="0" applyFont="0" applyFill="0" applyBorder="0">
      <alignment horizontal="right"/>
      <protection locked="0"/>
    </xf>
    <xf numFmtId="240" fontId="5" fillId="0" borderId="0" applyFont="0" applyFill="0" applyBorder="0" applyAlignment="0">
      <alignment horizontal="left"/>
    </xf>
    <xf numFmtId="241" fontId="5" fillId="0" borderId="0" applyFont="0" applyFill="0" applyBorder="0" applyAlignment="0" applyProtection="0">
      <alignment horizontal="left"/>
    </xf>
    <xf numFmtId="242" fontId="5" fillId="0" borderId="0" applyFont="0" applyFill="0" applyBorder="0" applyAlignment="0" applyProtection="0">
      <alignment horizontal="left"/>
    </xf>
    <xf numFmtId="242" fontId="5" fillId="0" borderId="0" applyFont="0" applyFill="0" applyBorder="0" applyAlignment="0" applyProtection="0">
      <alignment horizontal="left"/>
    </xf>
    <xf numFmtId="243" fontId="5" fillId="0" borderId="0">
      <alignment horizontal="right"/>
    </xf>
    <xf numFmtId="244" fontId="5" fillId="0" borderId="0">
      <alignment horizontal="right"/>
    </xf>
    <xf numFmtId="0" fontId="119" fillId="0" borderId="15" applyBorder="0" applyProtection="0"/>
    <xf numFmtId="0" fontId="120" fillId="49" borderId="0">
      <alignment horizontal="center" vertical="center" wrapText="1"/>
    </xf>
    <xf numFmtId="0" fontId="121" fillId="0" borderId="0" applyFill="0" applyBorder="0" applyAlignment="0" applyProtection="0">
      <protection locked="0"/>
    </xf>
    <xf numFmtId="0" fontId="120" fillId="49" borderId="0">
      <alignment horizontal="center" vertical="center" wrapText="1"/>
    </xf>
    <xf numFmtId="209" fontId="122" fillId="0" borderId="0" applyFill="0" applyBorder="0">
      <alignment horizontal="left"/>
    </xf>
    <xf numFmtId="10" fontId="5" fillId="0" borderId="0"/>
    <xf numFmtId="0" fontId="123" fillId="0" borderId="0" applyNumberFormat="0" applyAlignment="0">
      <alignment horizontal="left"/>
    </xf>
    <xf numFmtId="0" fontId="40" fillId="0" borderId="0" applyNumberFormat="0" applyAlignment="0"/>
    <xf numFmtId="0" fontId="124" fillId="0" borderId="2" applyNumberFormat="0" applyFill="0" applyBorder="0" applyAlignment="0" applyProtection="0"/>
    <xf numFmtId="0" fontId="124" fillId="0" borderId="2" applyNumberFormat="0" applyFill="0" applyBorder="0" applyAlignment="0" applyProtection="0"/>
    <xf numFmtId="0" fontId="124" fillId="0" borderId="2" applyNumberFormat="0" applyFill="0" applyBorder="0" applyAlignment="0" applyProtection="0"/>
    <xf numFmtId="0" fontId="124" fillId="0" borderId="2" applyNumberFormat="0" applyFill="0" applyBorder="0" applyAlignment="0" applyProtection="0"/>
    <xf numFmtId="0" fontId="124" fillId="0" borderId="2" applyNumberFormat="0" applyFill="0" applyBorder="0" applyAlignment="0" applyProtection="0"/>
    <xf numFmtId="0" fontId="125" fillId="47" borderId="43" applyNumberFormat="0" applyFill="0" applyBorder="0" applyAlignment="0" applyProtection="0">
      <alignment horizontal="center" textRotation="255"/>
    </xf>
    <xf numFmtId="245" fontId="5" fillId="0" borderId="0" applyFill="0" applyBorder="0">
      <alignment horizontal="right"/>
      <protection locked="0"/>
    </xf>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209" fontId="127" fillId="0" borderId="0"/>
    <xf numFmtId="209" fontId="127" fillId="0" borderId="0"/>
    <xf numFmtId="246" fontId="52" fillId="0" borderId="44" applyFont="0" applyFill="0" applyBorder="0" applyAlignment="0" applyProtection="0"/>
    <xf numFmtId="6" fontId="23" fillId="0" borderId="0" applyFont="0" applyFill="0" applyBorder="0" applyAlignment="0" applyProtection="0">
      <protection locked="0"/>
    </xf>
    <xf numFmtId="8" fontId="23" fillId="0" borderId="0" applyFont="0" applyFill="0" applyBorder="0" applyAlignment="0" applyProtection="0">
      <protection locked="0"/>
    </xf>
    <xf numFmtId="247" fontId="32" fillId="0" borderId="0" applyFont="0" applyFill="0" applyBorder="0" applyProtection="0"/>
    <xf numFmtId="248" fontId="32" fillId="0" borderId="0" applyFont="0" applyFill="0" applyBorder="0" applyProtection="0"/>
    <xf numFmtId="6" fontId="52" fillId="0" borderId="0">
      <alignment horizontal="center"/>
    </xf>
    <xf numFmtId="209" fontId="67" fillId="0" borderId="0" applyFont="0" applyFill="0" applyBorder="0" applyAlignment="0" applyProtection="0"/>
    <xf numFmtId="0" fontId="128" fillId="0" borderId="0" applyFont="0" applyFill="0" applyBorder="0" applyAlignment="0" applyProtection="0"/>
    <xf numFmtId="8" fontId="129" fillId="0" borderId="45">
      <protection locked="0"/>
    </xf>
    <xf numFmtId="8" fontId="129" fillId="0" borderId="45">
      <protection locked="0"/>
    </xf>
    <xf numFmtId="8" fontId="129" fillId="0" borderId="45">
      <protection locked="0"/>
    </xf>
    <xf numFmtId="249" fontId="5" fillId="0" borderId="0" applyFont="0" applyFill="0" applyBorder="0" applyAlignment="0" applyProtection="0">
      <alignment horizontal="right"/>
    </xf>
    <xf numFmtId="250" fontId="112" fillId="0" borderId="0" applyFont="0" applyFill="0" applyBorder="0" applyAlignment="0" applyProtection="0"/>
    <xf numFmtId="251" fontId="112" fillId="0" borderId="0" applyFont="0" applyFill="0" applyBorder="0" applyAlignment="0" applyProtection="0"/>
    <xf numFmtId="252" fontId="112" fillId="0" borderId="0" applyFont="0" applyFill="0" applyBorder="0" applyAlignment="0" applyProtection="0"/>
    <xf numFmtId="253" fontId="43" fillId="0" borderId="0" applyFont="0" applyFill="0" applyBorder="0" applyAlignment="0" applyProtection="0">
      <protection locked="0"/>
    </xf>
    <xf numFmtId="44" fontId="5" fillId="0" borderId="0" applyFont="0" applyFill="0" applyBorder="0" applyAlignment="0" applyProtection="0"/>
    <xf numFmtId="44" fontId="1" fillId="0" borderId="0" applyFont="0" applyFill="0" applyBorder="0" applyAlignment="0" applyProtection="0"/>
    <xf numFmtId="44" fontId="114" fillId="0" borderId="0" applyFont="0" applyFill="0" applyBorder="0" applyAlignment="0" applyProtection="0"/>
    <xf numFmtId="44" fontId="115" fillId="0" borderId="0" applyFont="0" applyFill="0" applyBorder="0" applyAlignment="0" applyProtection="0"/>
    <xf numFmtId="44" fontId="1" fillId="0" borderId="0" applyFont="0" applyFill="0" applyBorder="0" applyAlignment="0" applyProtection="0"/>
    <xf numFmtId="246" fontId="52" fillId="0" borderId="44" applyFont="0" applyFill="0" applyBorder="0" applyAlignment="0" applyProtection="0"/>
    <xf numFmtId="44" fontId="1" fillId="0" borderId="0" applyFont="0" applyFill="0" applyBorder="0" applyAlignment="0" applyProtection="0"/>
    <xf numFmtId="44" fontId="5" fillId="0" borderId="0" applyFont="0" applyFill="0" applyBorder="0" applyAlignment="0" applyProtection="0"/>
    <xf numFmtId="44" fontId="1" fillId="0" borderId="0" applyFont="0" applyFill="0" applyBorder="0" applyAlignment="0" applyProtection="0"/>
    <xf numFmtId="44" fontId="114" fillId="0" borderId="0" applyFont="0" applyFill="0" applyBorder="0" applyAlignment="0" applyProtection="0"/>
    <xf numFmtId="44" fontId="5" fillId="0" borderId="0" applyFont="0" applyFill="0" applyBorder="0" applyAlignment="0" applyProtection="0"/>
    <xf numFmtId="44" fontId="114" fillId="0" borderId="0" applyFont="0" applyFill="0" applyBorder="0" applyAlignment="0" applyProtection="0"/>
    <xf numFmtId="44" fontId="114" fillId="0" borderId="0" applyFont="0" applyFill="0" applyBorder="0" applyAlignment="0" applyProtection="0"/>
    <xf numFmtId="44" fontId="114" fillId="0" borderId="0" applyFont="0" applyFill="0" applyBorder="0" applyAlignment="0" applyProtection="0"/>
    <xf numFmtId="44" fontId="114" fillId="0" borderId="0" applyFont="0" applyFill="0" applyBorder="0" applyAlignment="0" applyProtection="0"/>
    <xf numFmtId="44" fontId="114" fillId="0" borderId="0" applyFont="0" applyFill="0" applyBorder="0" applyAlignment="0" applyProtection="0"/>
    <xf numFmtId="44" fontId="5" fillId="0" borderId="0" applyFont="0" applyFill="0" applyBorder="0" applyAlignment="0" applyProtection="0"/>
    <xf numFmtId="44" fontId="1" fillId="0" borderId="0" applyFont="0" applyFill="0" applyBorder="0" applyAlignment="0" applyProtection="0"/>
    <xf numFmtId="44" fontId="114"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8" fontId="39" fillId="37" borderId="0" applyFont="0" applyFill="0" applyBorder="0" applyAlignment="0" applyProtection="0"/>
    <xf numFmtId="8" fontId="39" fillId="37" borderId="0" applyFont="0" applyFill="0" applyBorder="0" applyAlignment="0" applyProtection="0"/>
    <xf numFmtId="254" fontId="130" fillId="0" borderId="0" applyFont="0" applyFill="0" applyBorder="0" applyAlignment="0" applyProtection="0"/>
    <xf numFmtId="255" fontId="5" fillId="0" borderId="0" applyFont="0" applyFill="0" applyBorder="0" applyAlignment="0" applyProtection="0"/>
    <xf numFmtId="0" fontId="52" fillId="0" borderId="44" applyFont="0" applyFill="0" applyBorder="0" applyAlignment="0" applyProtection="0"/>
    <xf numFmtId="0" fontId="5" fillId="0" borderId="0">
      <protection locked="0"/>
    </xf>
    <xf numFmtId="256" fontId="5" fillId="0" borderId="0" applyFont="0" applyFill="0" applyBorder="0" applyAlignment="0" applyProtection="0">
      <alignment horizontal="left"/>
    </xf>
    <xf numFmtId="202" fontId="5" fillId="0" borderId="0" applyFont="0" applyFill="0" applyBorder="0" applyAlignment="0" applyProtection="0">
      <alignment horizontal="left"/>
    </xf>
    <xf numFmtId="202" fontId="5" fillId="0" borderId="0" applyFont="0" applyFill="0" applyBorder="0" applyAlignment="0" applyProtection="0">
      <alignment horizontal="left"/>
    </xf>
    <xf numFmtId="257" fontId="113" fillId="0" borderId="0" applyFill="0" applyBorder="0" applyProtection="0">
      <alignment vertical="center"/>
    </xf>
    <xf numFmtId="258" fontId="5" fillId="0" borderId="0" applyFill="0" applyBorder="0">
      <alignment horizontal="right"/>
    </xf>
    <xf numFmtId="195" fontId="5" fillId="37" borderId="0"/>
    <xf numFmtId="0" fontId="131" fillId="0" borderId="0" applyNumberFormat="0" applyFill="0" applyBorder="0" applyAlignment="0" applyProtection="0">
      <alignment horizontal="left"/>
    </xf>
    <xf numFmtId="0" fontId="132" fillId="0" borderId="0" applyNumberFormat="0" applyFill="0" applyBorder="0" applyAlignment="0" applyProtection="0">
      <alignment horizontal="left"/>
    </xf>
    <xf numFmtId="0" fontId="131" fillId="0" borderId="0" applyNumberFormat="0" applyFill="0" applyBorder="0" applyAlignment="0" applyProtection="0">
      <alignment horizontal="left"/>
    </xf>
    <xf numFmtId="0" fontId="133" fillId="0" borderId="0" applyNumberFormat="0" applyFill="0" applyBorder="0" applyAlignment="0" applyProtection="0">
      <alignment horizontal="right"/>
    </xf>
    <xf numFmtId="44" fontId="5" fillId="0" borderId="0" applyFont="0" applyFill="0" applyBorder="0" applyAlignment="0" applyProtection="0"/>
    <xf numFmtId="259" fontId="5" fillId="0" borderId="0" applyFont="0" applyFill="0" applyBorder="0" applyAlignment="0" applyProtection="0"/>
    <xf numFmtId="260" fontId="5" fillId="0" borderId="0" applyFont="0" applyFill="0" applyBorder="0" applyAlignment="0" applyProtection="0"/>
    <xf numFmtId="261" fontId="5" fillId="0" borderId="0" applyFont="0" applyFill="0" applyBorder="0" applyAlignment="0" applyProtection="0"/>
    <xf numFmtId="262" fontId="5" fillId="0" borderId="0" applyNumberFormat="0">
      <alignment horizontal="right"/>
    </xf>
    <xf numFmtId="237" fontId="5" fillId="0" borderId="2"/>
    <xf numFmtId="237" fontId="5" fillId="0" borderId="2"/>
    <xf numFmtId="237" fontId="5" fillId="0" borderId="2"/>
    <xf numFmtId="237" fontId="5" fillId="0" borderId="2"/>
    <xf numFmtId="237" fontId="5" fillId="0" borderId="2"/>
    <xf numFmtId="263" fontId="5" fillId="0" borderId="2">
      <alignment horizontal="left"/>
    </xf>
    <xf numFmtId="263" fontId="5" fillId="0" borderId="2">
      <alignment horizontal="left"/>
    </xf>
    <xf numFmtId="263" fontId="5" fillId="0" borderId="2">
      <alignment horizontal="left"/>
    </xf>
    <xf numFmtId="263" fontId="5" fillId="0" borderId="2">
      <alignment horizontal="left"/>
    </xf>
    <xf numFmtId="263" fontId="5" fillId="0" borderId="2">
      <alignment horizontal="left"/>
    </xf>
    <xf numFmtId="264" fontId="5" fillId="0" borderId="0" applyFont="0" applyFill="0" applyBorder="0" applyAlignment="0" applyProtection="0"/>
    <xf numFmtId="264" fontId="5" fillId="0" borderId="0" applyFont="0" applyFill="0" applyBorder="0" applyAlignment="0" applyProtection="0"/>
    <xf numFmtId="264" fontId="5" fillId="0" borderId="0" applyFont="0" applyFill="0" applyBorder="0" applyAlignment="0" applyProtection="0"/>
    <xf numFmtId="0" fontId="5" fillId="0" borderId="0">
      <protection locked="0"/>
    </xf>
    <xf numFmtId="0" fontId="38" fillId="0" borderId="0"/>
    <xf numFmtId="15" fontId="63" fillId="0" borderId="0" applyFill="0" applyBorder="0" applyAlignment="0"/>
    <xf numFmtId="265" fontId="63" fillId="33" borderId="0"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06" fontId="52" fillId="33" borderId="0" applyFont="0" applyFill="0" applyBorder="0" applyAlignment="0" applyProtection="0"/>
    <xf numFmtId="17" fontId="63" fillId="0" borderId="0" applyFill="0" applyBorder="0">
      <alignment horizontal="right"/>
    </xf>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8" fontId="52" fillId="0" borderId="0"/>
    <xf numFmtId="15" fontId="5" fillId="0" borderId="0"/>
    <xf numFmtId="15" fontId="5" fillId="0" borderId="0"/>
    <xf numFmtId="15" fontId="5" fillId="0" borderId="0"/>
    <xf numFmtId="15" fontId="5" fillId="0" borderId="0"/>
    <xf numFmtId="15" fontId="5" fillId="0" borderId="0"/>
    <xf numFmtId="15" fontId="5" fillId="0" borderId="0"/>
    <xf numFmtId="15" fontId="5" fillId="0" borderId="0"/>
    <xf numFmtId="15" fontId="5" fillId="0" borderId="0"/>
    <xf numFmtId="15" fontId="5" fillId="0" borderId="0"/>
    <xf numFmtId="269" fontId="5" fillId="0" borderId="0" applyFont="0" applyFill="0" applyBorder="0" applyAlignment="0" applyProtection="0"/>
    <xf numFmtId="14" fontId="52" fillId="0" borderId="0" applyFont="0" applyFill="0" applyBorder="0" applyAlignment="0" applyProtection="0"/>
    <xf numFmtId="14" fontId="46" fillId="0" borderId="0" applyFill="0" applyBorder="0" applyAlignment="0"/>
    <xf numFmtId="14" fontId="64" fillId="0" borderId="0" applyFont="0" applyFill="0" applyBorder="0" applyAlignment="0"/>
    <xf numFmtId="14" fontId="5" fillId="0" borderId="0" applyFill="0" applyBorder="0">
      <alignment horizontal="center"/>
    </xf>
    <xf numFmtId="266" fontId="63" fillId="0" borderId="0" applyFill="0" applyBorder="0">
      <alignment horizontal="right"/>
    </xf>
    <xf numFmtId="270" fontId="5" fillId="0" borderId="0" applyFont="0" applyFill="0" applyBorder="0" applyAlignment="0" applyProtection="0"/>
    <xf numFmtId="17" fontId="135" fillId="33" borderId="0">
      <alignment horizontal="center"/>
      <protection locked="0"/>
    </xf>
    <xf numFmtId="271" fontId="65" fillId="0" borderId="0" applyFont="0" applyFill="0" applyBorder="0" applyAlignment="0" applyProtection="0">
      <alignment horizontal="center" vertical="center"/>
    </xf>
    <xf numFmtId="271" fontId="65" fillId="0" borderId="0" applyFont="0" applyFill="0" applyBorder="0" applyAlignment="0" applyProtection="0">
      <alignment horizontal="center" vertical="center"/>
    </xf>
    <xf numFmtId="14" fontId="99" fillId="0" borderId="0" applyFont="0" applyFill="0" applyBorder="0" applyAlignment="0" applyProtection="0">
      <alignment horizontal="center"/>
    </xf>
    <xf numFmtId="272" fontId="99" fillId="0" borderId="0" applyFont="0" applyFill="0" applyBorder="0" applyAlignment="0" applyProtection="0">
      <alignment horizontal="center"/>
    </xf>
    <xf numFmtId="0" fontId="80" fillId="0" borderId="46"/>
    <xf numFmtId="1" fontId="43" fillId="48" borderId="2">
      <alignment horizontal="center" wrapText="1"/>
    </xf>
    <xf numFmtId="1" fontId="43" fillId="48" borderId="2">
      <alignment horizontal="center" wrapText="1"/>
    </xf>
    <xf numFmtId="1" fontId="43" fillId="48" borderId="2">
      <alignment horizontal="center" wrapText="1"/>
    </xf>
    <xf numFmtId="1" fontId="43" fillId="48" borderId="2">
      <alignment horizontal="center" wrapText="1"/>
    </xf>
    <xf numFmtId="1" fontId="43" fillId="48" borderId="2">
      <alignment horizontal="center" wrapText="1"/>
    </xf>
    <xf numFmtId="39" fontId="5" fillId="36" borderId="2" applyNumberFormat="0">
      <alignment horizontal="center"/>
    </xf>
    <xf numFmtId="39" fontId="5" fillId="36" borderId="2" applyNumberFormat="0">
      <alignment horizontal="center"/>
    </xf>
    <xf numFmtId="39" fontId="5" fillId="36" borderId="2" applyNumberFormat="0">
      <alignment horizontal="center"/>
    </xf>
    <xf numFmtId="39" fontId="5" fillId="36" borderId="2" applyNumberFormat="0">
      <alignment horizontal="center"/>
    </xf>
    <xf numFmtId="39" fontId="5" fillId="36" borderId="2" applyNumberFormat="0">
      <alignment horizontal="center"/>
    </xf>
    <xf numFmtId="0" fontId="5" fillId="0" borderId="0"/>
    <xf numFmtId="273" fontId="100" fillId="0" borderId="0"/>
    <xf numFmtId="0" fontId="39" fillId="50" borderId="0"/>
    <xf numFmtId="0" fontId="136" fillId="37" borderId="0" applyNumberFormat="0" applyBorder="0" applyAlignment="0" applyProtection="0"/>
    <xf numFmtId="38" fontId="39" fillId="0" borderId="47">
      <alignment vertical="center"/>
    </xf>
    <xf numFmtId="274" fontId="5" fillId="0" borderId="0" applyFont="0" applyFill="0" applyBorder="0" applyAlignment="0" applyProtection="0"/>
    <xf numFmtId="275" fontId="5" fillId="0" borderId="0" applyFont="0" applyFill="0" applyBorder="0" applyAlignment="0" applyProtection="0"/>
    <xf numFmtId="1" fontId="69" fillId="0" borderId="48" applyNumberFormat="0">
      <alignment horizontal="center"/>
    </xf>
    <xf numFmtId="276" fontId="71" fillId="0" borderId="48">
      <alignment horizontal="center"/>
    </xf>
    <xf numFmtId="0" fontId="137" fillId="0" borderId="0">
      <protection locked="0"/>
    </xf>
    <xf numFmtId="0" fontId="138" fillId="0" borderId="0">
      <alignment horizontal="left" indent="1"/>
    </xf>
    <xf numFmtId="277" fontId="5" fillId="0" borderId="0"/>
    <xf numFmtId="278" fontId="5" fillId="0" borderId="0"/>
    <xf numFmtId="279" fontId="5" fillId="0" borderId="0"/>
    <xf numFmtId="279" fontId="139" fillId="51" borderId="0"/>
    <xf numFmtId="280" fontId="78" fillId="0" borderId="0" applyFont="0" applyFill="0" applyBorder="0" applyProtection="0"/>
    <xf numFmtId="281" fontId="78" fillId="0" borderId="0" applyFont="0" applyFill="0" applyBorder="0" applyProtection="0"/>
    <xf numFmtId="282" fontId="78" fillId="0" borderId="0" applyFont="0" applyFill="0" applyBorder="0" applyProtection="0"/>
    <xf numFmtId="277" fontId="5" fillId="0" borderId="0"/>
    <xf numFmtId="0" fontId="5" fillId="0" borderId="0" applyFill="0" applyBorder="0" applyProtection="0">
      <alignment horizontal="right"/>
    </xf>
    <xf numFmtId="0" fontId="5" fillId="0" borderId="0" applyFill="0" applyBorder="0" applyProtection="0">
      <alignment horizontal="right"/>
    </xf>
    <xf numFmtId="0" fontId="5" fillId="0" borderId="0" applyFill="0" applyBorder="0" applyProtection="0">
      <alignment horizontal="right"/>
    </xf>
    <xf numFmtId="0" fontId="72" fillId="0" borderId="0" applyFont="0" applyFill="0" applyBorder="0" applyAlignment="0" applyProtection="0"/>
    <xf numFmtId="6" fontId="65" fillId="0" borderId="0" applyFont="0" applyFill="0" applyBorder="0" applyAlignment="0" applyProtection="0"/>
    <xf numFmtId="195" fontId="5" fillId="0" borderId="49" applyNumberFormat="0" applyFont="0" applyFill="0" applyAlignment="0" applyProtection="0"/>
    <xf numFmtId="0" fontId="80" fillId="0" borderId="46"/>
    <xf numFmtId="283" fontId="140" fillId="0" borderId="39" applyNumberFormat="0" applyBorder="0"/>
    <xf numFmtId="283" fontId="140" fillId="0" borderId="39" applyNumberFormat="0" applyBorder="0"/>
    <xf numFmtId="283" fontId="140" fillId="0" borderId="39" applyNumberFormat="0" applyBorder="0"/>
    <xf numFmtId="283" fontId="140" fillId="0" borderId="39" applyNumberFormat="0" applyBorder="0"/>
    <xf numFmtId="283" fontId="140" fillId="0" borderId="39" applyNumberFormat="0" applyBorder="0"/>
    <xf numFmtId="283" fontId="140" fillId="0" borderId="39" applyNumberFormat="0" applyBorder="0"/>
    <xf numFmtId="284" fontId="52" fillId="40" borderId="0" applyNumberFormat="0" applyBorder="0" applyAlignment="0" applyProtection="0">
      <alignment horizontal="right"/>
    </xf>
    <xf numFmtId="215" fontId="5" fillId="37" borderId="2">
      <alignment horizontal="center"/>
    </xf>
    <xf numFmtId="215" fontId="5" fillId="37" borderId="2">
      <alignment horizontal="center"/>
    </xf>
    <xf numFmtId="215" fontId="5" fillId="37" borderId="2">
      <alignment horizontal="center"/>
    </xf>
    <xf numFmtId="215" fontId="5" fillId="37" borderId="2">
      <alignment horizontal="center"/>
    </xf>
    <xf numFmtId="215" fontId="5" fillId="37" borderId="2">
      <alignment horizontal="center"/>
    </xf>
    <xf numFmtId="0" fontId="141" fillId="52" borderId="2">
      <protection locked="0"/>
    </xf>
    <xf numFmtId="0" fontId="141" fillId="52" borderId="2">
      <protection locked="0"/>
    </xf>
    <xf numFmtId="0" fontId="141" fillId="52" borderId="2">
      <protection locked="0"/>
    </xf>
    <xf numFmtId="0" fontId="141" fillId="52" borderId="2">
      <protection locked="0"/>
    </xf>
    <xf numFmtId="0" fontId="141" fillId="52" borderId="2">
      <protection locked="0"/>
    </xf>
    <xf numFmtId="285" fontId="142" fillId="0" borderId="50">
      <protection locked="0"/>
    </xf>
    <xf numFmtId="0" fontId="5" fillId="0" borderId="0" applyFont="0" applyBorder="0">
      <alignment horizontal="left" vertical="center" indent="1"/>
    </xf>
    <xf numFmtId="0" fontId="143" fillId="0" borderId="0">
      <protection locked="0"/>
    </xf>
    <xf numFmtId="0" fontId="143" fillId="0" borderId="0">
      <protection locked="0"/>
    </xf>
    <xf numFmtId="42" fontId="39" fillId="0" borderId="0" applyFill="0" applyBorder="0" applyAlignment="0"/>
    <xf numFmtId="209" fontId="67" fillId="0" borderId="0" applyFill="0" applyBorder="0" applyAlignment="0"/>
    <xf numFmtId="42" fontId="39" fillId="0" borderId="0" applyFill="0" applyBorder="0" applyAlignment="0"/>
    <xf numFmtId="218" fontId="5" fillId="0" borderId="0" applyFill="0" applyBorder="0" applyAlignment="0"/>
    <xf numFmtId="209" fontId="67" fillId="0" borderId="0" applyFill="0" applyBorder="0" applyAlignment="0"/>
    <xf numFmtId="0" fontId="144" fillId="0" borderId="0" applyNumberFormat="0" applyAlignment="0">
      <alignment horizontal="left"/>
    </xf>
    <xf numFmtId="17" fontId="145" fillId="53" borderId="0">
      <alignment horizontal="left"/>
    </xf>
    <xf numFmtId="0" fontId="5" fillId="54" borderId="0" applyNumberFormat="0" applyBorder="0" applyAlignment="0" applyProtection="0"/>
    <xf numFmtId="0" fontId="146" fillId="55" borderId="0" applyNumberFormat="0" applyBorder="0" applyAlignment="0">
      <protection locked="0"/>
    </xf>
    <xf numFmtId="0" fontId="147" fillId="54" borderId="0" applyNumberFormat="0" applyBorder="0" applyAlignment="0">
      <protection locked="0"/>
    </xf>
    <xf numFmtId="0" fontId="148" fillId="0" borderId="0" applyNumberFormat="0" applyFill="0" applyBorder="0" applyAlignment="0" applyProtection="0"/>
    <xf numFmtId="0" fontId="148" fillId="54" borderId="0" applyNumberFormat="0" applyBorder="0" applyAlignment="0"/>
    <xf numFmtId="0" fontId="76" fillId="0" borderId="29"/>
    <xf numFmtId="0" fontId="53" fillId="54" borderId="0" applyNumberFormat="0" applyBorder="0" applyAlignment="0">
      <protection locked="0"/>
    </xf>
    <xf numFmtId="0" fontId="141" fillId="40" borderId="2">
      <protection hidden="1"/>
    </xf>
    <xf numFmtId="0" fontId="141" fillId="40" borderId="2">
      <protection hidden="1"/>
    </xf>
    <xf numFmtId="0" fontId="141" fillId="40" borderId="2">
      <protection hidden="1"/>
    </xf>
    <xf numFmtId="0" fontId="141" fillId="40" borderId="2">
      <protection hidden="1"/>
    </xf>
    <xf numFmtId="0" fontId="141" fillId="40" borderId="2">
      <protection hidden="1"/>
    </xf>
    <xf numFmtId="286" fontId="149" fillId="56" borderId="2" applyNumberFormat="0" applyFont="0" applyBorder="0" applyAlignment="0" applyProtection="0">
      <alignment horizontal="center" vertical="center"/>
    </xf>
    <xf numFmtId="286" fontId="149" fillId="56" borderId="2" applyNumberFormat="0" applyFont="0" applyBorder="0" applyAlignment="0" applyProtection="0">
      <alignment horizontal="center" vertical="center"/>
    </xf>
    <xf numFmtId="286" fontId="149" fillId="56" borderId="2" applyNumberFormat="0" applyFont="0" applyBorder="0" applyAlignment="0" applyProtection="0">
      <alignment horizontal="center" vertical="center"/>
    </xf>
    <xf numFmtId="286" fontId="149" fillId="56" borderId="2" applyNumberFormat="0" applyFont="0" applyBorder="0" applyAlignment="0" applyProtection="0">
      <alignment horizontal="center" vertical="center"/>
    </xf>
    <xf numFmtId="286" fontId="149" fillId="56" borderId="2" applyNumberFormat="0" applyFont="0" applyBorder="0" applyAlignment="0" applyProtection="0">
      <alignment horizontal="center" vertical="center"/>
    </xf>
    <xf numFmtId="0" fontId="5" fillId="0" borderId="0" applyFont="0" applyFill="0" applyBorder="0" applyAlignment="0" applyProtection="0"/>
    <xf numFmtId="287" fontId="5" fillId="0" borderId="0" applyFont="0" applyFill="0" applyBorder="0" applyAlignment="0" applyProtection="0"/>
    <xf numFmtId="287" fontId="5" fillId="0" borderId="0" applyFont="0" applyFill="0" applyBorder="0" applyAlignment="0" applyProtection="0"/>
    <xf numFmtId="288" fontId="5" fillId="0" borderId="0"/>
    <xf numFmtId="288" fontId="139" fillId="51" borderId="0"/>
    <xf numFmtId="215" fontId="5" fillId="0" borderId="0" applyFont="0" applyFill="0" applyBorder="0" applyAlignment="0" applyProtection="0"/>
    <xf numFmtId="0" fontId="150" fillId="57" borderId="0" applyNumberFormat="0" applyBorder="0" applyAlignment="0" applyProtection="0">
      <alignment horizontal="center" vertical="center"/>
    </xf>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0" fontId="137" fillId="0" borderId="0">
      <protection locked="0"/>
    </xf>
    <xf numFmtId="0" fontId="137" fillId="0" borderId="0">
      <protection locked="0"/>
    </xf>
    <xf numFmtId="0" fontId="137" fillId="0" borderId="0">
      <protection locked="0"/>
    </xf>
    <xf numFmtId="0" fontId="137" fillId="0" borderId="0">
      <protection locked="0"/>
    </xf>
    <xf numFmtId="0" fontId="137" fillId="0" borderId="0">
      <protection locked="0"/>
    </xf>
    <xf numFmtId="0" fontId="137" fillId="0" borderId="0">
      <protection locked="0"/>
    </xf>
    <xf numFmtId="0" fontId="137" fillId="0" borderId="0">
      <protection locked="0"/>
    </xf>
    <xf numFmtId="289" fontId="78" fillId="0" borderId="0" applyFont="0" applyFill="0" applyBorder="0" applyProtection="0"/>
    <xf numFmtId="290" fontId="78" fillId="0" borderId="0" applyFont="0" applyFill="0" applyBorder="0" applyProtection="0"/>
    <xf numFmtId="291" fontId="78" fillId="0" borderId="0" applyFont="0" applyFill="0" applyBorder="0" applyProtection="0"/>
    <xf numFmtId="0" fontId="137" fillId="0" borderId="0">
      <protection locked="0"/>
    </xf>
    <xf numFmtId="0" fontId="137" fillId="0" borderId="0">
      <protection locked="0"/>
    </xf>
    <xf numFmtId="0" fontId="151" fillId="0" borderId="0" applyBorder="0">
      <alignment horizontal="right"/>
    </xf>
    <xf numFmtId="0" fontId="23" fillId="0" borderId="0"/>
    <xf numFmtId="292" fontId="5" fillId="0" borderId="0"/>
    <xf numFmtId="292" fontId="5" fillId="0" borderId="0"/>
    <xf numFmtId="0" fontId="5" fillId="0" borderId="0">
      <protection locked="0"/>
    </xf>
    <xf numFmtId="245" fontId="5" fillId="0" borderId="0"/>
    <xf numFmtId="293" fontId="5" fillId="33" borderId="0" applyFont="0" applyFill="0" applyBorder="0" applyAlignment="0"/>
    <xf numFmtId="2" fontId="100" fillId="0" borderId="0"/>
    <xf numFmtId="206" fontId="38" fillId="0" borderId="0">
      <alignment horizontal="right"/>
    </xf>
    <xf numFmtId="0" fontId="38" fillId="0" borderId="0"/>
    <xf numFmtId="0" fontId="152" fillId="0" borderId="0" applyNumberFormat="0" applyFill="0" applyBorder="0" applyAlignment="0" applyProtection="0">
      <alignment vertical="top"/>
      <protection locked="0"/>
    </xf>
    <xf numFmtId="0" fontId="5" fillId="0" borderId="0" applyFill="0" applyBorder="0" applyProtection="0">
      <alignment horizontal="left"/>
    </xf>
    <xf numFmtId="0" fontId="153" fillId="0" borderId="0" applyNumberFormat="0" applyFill="0" applyBorder="0" applyAlignment="0" applyProtection="0"/>
    <xf numFmtId="0" fontId="154" fillId="0" borderId="0"/>
    <xf numFmtId="0" fontId="155" fillId="58" borderId="51" applyNumberFormat="0" applyAlignment="0">
      <protection locked="0"/>
    </xf>
    <xf numFmtId="0" fontId="155" fillId="58" borderId="51" applyNumberFormat="0" applyAlignment="0">
      <protection locked="0"/>
    </xf>
    <xf numFmtId="0" fontId="38" fillId="59" borderId="0"/>
    <xf numFmtId="294" fontId="5" fillId="0" borderId="0" applyFont="0" applyFill="0" applyBorder="0" applyAlignment="0" applyProtection="0"/>
    <xf numFmtId="294" fontId="5" fillId="0" borderId="0" applyFont="0" applyFill="0" applyBorder="0" applyAlignment="0" applyProtection="0"/>
    <xf numFmtId="294" fontId="5" fillId="0" borderId="0" applyFont="0" applyFill="0" applyBorder="0" applyAlignment="0" applyProtection="0"/>
    <xf numFmtId="0" fontId="38" fillId="0" borderId="0" applyFont="0" applyFill="0" applyBorder="0" applyAlignment="0" applyProtection="0"/>
    <xf numFmtId="37" fontId="5" fillId="0" borderId="0" applyFill="0" applyBorder="0">
      <alignment horizontal="right"/>
    </xf>
    <xf numFmtId="37" fontId="5" fillId="0" borderId="0" applyFill="0" applyBorder="0">
      <alignment horizontal="center"/>
    </xf>
    <xf numFmtId="37" fontId="5" fillId="0" borderId="0" applyFill="0" applyBorder="0">
      <alignment horizontal="right"/>
    </xf>
    <xf numFmtId="39" fontId="5" fillId="0" borderId="0" applyFill="0" applyBorder="0">
      <alignment horizontal="right"/>
    </xf>
    <xf numFmtId="219" fontId="5" fillId="0" borderId="0" applyFill="0" applyBorder="0">
      <alignment horizontal="right"/>
    </xf>
    <xf numFmtId="0" fontId="65" fillId="0" borderId="0" applyFont="0" applyFill="0" applyBorder="0" applyAlignment="0" applyProtection="0">
      <alignment horizontal="center" vertical="center"/>
    </xf>
    <xf numFmtId="0" fontId="65" fillId="0" borderId="0" applyFont="0" applyFill="0" applyBorder="0" applyAlignment="0" applyProtection="0">
      <alignment horizontal="center" vertical="center"/>
    </xf>
    <xf numFmtId="0" fontId="41" fillId="0" borderId="0" applyNumberFormat="0" applyAlignment="0" applyProtection="0">
      <alignment horizontal="center"/>
      <protection locked="0"/>
    </xf>
    <xf numFmtId="0" fontId="41" fillId="0" borderId="0" applyNumberFormat="0" applyAlignment="0" applyProtection="0">
      <alignment horizontal="center"/>
      <protection locked="0"/>
    </xf>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3" fontId="156" fillId="0" borderId="5" applyNumberFormat="0" applyFill="0" applyBorder="0" applyAlignment="0" applyProtection="0"/>
    <xf numFmtId="3" fontId="156" fillId="0" borderId="5" applyNumberFormat="0" applyFill="0" applyBorder="0" applyAlignment="0" applyProtection="0"/>
    <xf numFmtId="3" fontId="156" fillId="0" borderId="5" applyNumberFormat="0" applyFill="0" applyBorder="0" applyAlignment="0" applyProtection="0"/>
    <xf numFmtId="0" fontId="157" fillId="0" borderId="0" applyNumberFormat="0" applyFill="0" applyBorder="0" applyAlignment="0" applyProtection="0"/>
    <xf numFmtId="38" fontId="52" fillId="36" borderId="0" applyNumberFormat="0" applyBorder="0" applyAlignment="0" applyProtection="0"/>
    <xf numFmtId="1" fontId="158" fillId="36" borderId="0">
      <alignment horizontal="center"/>
      <protection locked="0" hidden="1"/>
    </xf>
    <xf numFmtId="295" fontId="5" fillId="36" borderId="2" applyNumberFormat="0">
      <alignment horizontal="center"/>
    </xf>
    <xf numFmtId="295" fontId="5" fillId="36" borderId="2" applyNumberFormat="0">
      <alignment horizontal="center"/>
    </xf>
    <xf numFmtId="295" fontId="5" fillId="36" borderId="2" applyNumberFormat="0">
      <alignment horizontal="center"/>
    </xf>
    <xf numFmtId="295" fontId="5" fillId="36" borderId="2" applyNumberFormat="0">
      <alignment horizontal="center"/>
    </xf>
    <xf numFmtId="295" fontId="5" fillId="36" borderId="2" applyNumberFormat="0">
      <alignment horizontal="center"/>
    </xf>
    <xf numFmtId="0" fontId="43" fillId="0" borderId="52">
      <alignment horizontal="center"/>
    </xf>
    <xf numFmtId="296" fontId="159" fillId="0" borderId="0" applyFill="0" applyBorder="0" applyAlignment="0" applyProtection="0"/>
    <xf numFmtId="181" fontId="66" fillId="33" borderId="2" applyFill="0" applyBorder="0" applyAlignment="0" applyProtection="0"/>
    <xf numFmtId="181" fontId="66" fillId="33" borderId="2" applyFill="0" applyBorder="0" applyAlignment="0" applyProtection="0"/>
    <xf numFmtId="181" fontId="66" fillId="33" borderId="2" applyFill="0" applyBorder="0" applyAlignment="0" applyProtection="0"/>
    <xf numFmtId="181" fontId="66" fillId="33" borderId="2" applyFill="0" applyBorder="0" applyAlignment="0" applyProtection="0"/>
    <xf numFmtId="181" fontId="66" fillId="33" borderId="2" applyFill="0" applyBorder="0" applyAlignment="0" applyProtection="0"/>
    <xf numFmtId="297" fontId="5" fillId="0" borderId="0" applyFont="0" applyFill="0" applyBorder="0" applyAlignment="0" applyProtection="0">
      <alignment horizontal="right"/>
    </xf>
    <xf numFmtId="38" fontId="160" fillId="0" borderId="0" applyNumberFormat="0" applyFill="0" applyBorder="0" applyAlignment="0" applyProtection="0"/>
    <xf numFmtId="0" fontId="83" fillId="60" borderId="0"/>
    <xf numFmtId="0" fontId="161" fillId="38" borderId="0">
      <alignment horizontal="left"/>
    </xf>
    <xf numFmtId="0" fontId="162" fillId="0" borderId="0" applyNumberFormat="0" applyFill="0" applyBorder="0" applyAlignment="0" applyProtection="0"/>
    <xf numFmtId="0" fontId="89" fillId="0" borderId="53" applyNumberFormat="0" applyAlignment="0" applyProtection="0">
      <alignment horizontal="left" vertical="center"/>
    </xf>
    <xf numFmtId="0" fontId="89" fillId="0" borderId="5">
      <alignment horizontal="left" vertical="center"/>
    </xf>
    <xf numFmtId="0" fontId="89" fillId="0" borderId="5">
      <alignment horizontal="left" vertical="center"/>
    </xf>
    <xf numFmtId="0" fontId="89" fillId="0" borderId="5">
      <alignment horizontal="left" vertical="center"/>
    </xf>
    <xf numFmtId="0" fontId="163" fillId="0" borderId="0">
      <alignment horizontal="center"/>
    </xf>
    <xf numFmtId="0" fontId="43" fillId="0" borderId="0">
      <alignment horizontal="right" wrapText="1"/>
    </xf>
    <xf numFmtId="0" fontId="43" fillId="0" borderId="0"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38" fillId="0" borderId="0">
      <protection locked="0"/>
    </xf>
    <xf numFmtId="0" fontId="38" fillId="0" borderId="0">
      <protection locked="0"/>
    </xf>
    <xf numFmtId="49" fontId="43" fillId="0" borderId="0" applyFill="0" applyBorder="0"/>
    <xf numFmtId="240" fontId="5" fillId="0" borderId="54" applyFill="0" applyBorder="0"/>
    <xf numFmtId="240" fontId="5" fillId="0" borderId="54" applyFill="0" applyBorder="0"/>
    <xf numFmtId="240" fontId="5" fillId="0" borderId="54" applyFill="0" applyBorder="0"/>
    <xf numFmtId="240" fontId="5" fillId="0" borderId="54" applyFill="0" applyBorder="0"/>
    <xf numFmtId="240" fontId="5" fillId="0" borderId="54" applyFill="0" applyBorder="0"/>
    <xf numFmtId="240" fontId="5" fillId="0" borderId="54" applyFill="0" applyBorder="0"/>
    <xf numFmtId="17" fontId="5" fillId="0" borderId="0" applyFill="0" applyBorder="0">
      <alignment horizontal="center"/>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164" fillId="0" borderId="31">
      <alignment horizontal="center"/>
    </xf>
    <xf numFmtId="0" fontId="164" fillId="0" borderId="0">
      <alignment horizontal="center"/>
    </xf>
    <xf numFmtId="0" fontId="165" fillId="38" borderId="0" applyNumberFormat="0" applyFont="0" applyFill="0" applyBorder="0" applyAlignment="0">
      <alignment horizontal="centerContinuous"/>
    </xf>
    <xf numFmtId="0" fontId="166" fillId="62" borderId="0" applyNumberFormat="0" applyFont="0" applyBorder="0" applyAlignment="0" applyProtection="0"/>
    <xf numFmtId="0" fontId="146" fillId="0" borderId="55" applyNumberFormat="0" applyFill="0" applyAlignment="0" applyProtection="0"/>
    <xf numFmtId="37" fontId="167" fillId="0" borderId="0" applyNumberFormat="0" applyBorder="0">
      <alignment horizontal="center"/>
    </xf>
    <xf numFmtId="37" fontId="43" fillId="0" borderId="0"/>
    <xf numFmtId="0" fontId="168" fillId="0" borderId="0" applyNumberFormat="0" applyFill="0" applyBorder="0" applyAlignment="0" applyProtection="0">
      <alignment vertical="top"/>
      <protection locked="0"/>
    </xf>
    <xf numFmtId="298" fontId="169" fillId="0" borderId="0" applyNumberFormat="0" applyFill="0" applyBorder="0" applyAlignment="0" applyProtection="0"/>
    <xf numFmtId="206" fontId="65" fillId="0" borderId="0" applyFont="0" applyFill="0" applyBorder="0" applyAlignment="0" applyProtection="0"/>
    <xf numFmtId="207" fontId="5" fillId="0" borderId="0" applyFont="0" applyFill="0" applyBorder="0" applyAlignment="0" applyProtection="0"/>
    <xf numFmtId="208" fontId="5" fillId="0" borderId="0" applyFont="0" applyFill="0" applyBorder="0" applyAlignment="0" applyProtection="0"/>
    <xf numFmtId="208" fontId="5" fillId="0" borderId="0" applyFont="0" applyFill="0" applyBorder="0" applyAlignment="0" applyProtection="0"/>
    <xf numFmtId="37" fontId="146" fillId="0" borderId="0" applyFill="0" applyBorder="0">
      <protection locked="0"/>
    </xf>
    <xf numFmtId="181" fontId="146" fillId="0" borderId="0" applyFill="0" applyBorder="0">
      <protection locked="0"/>
    </xf>
    <xf numFmtId="39" fontId="146" fillId="0" borderId="0" applyFill="0" applyBorder="0">
      <protection locked="0"/>
    </xf>
    <xf numFmtId="219" fontId="146" fillId="0" borderId="0" applyFill="0" applyBorder="0">
      <protection locked="0"/>
    </xf>
    <xf numFmtId="220" fontId="146" fillId="0" borderId="0" applyFill="0" applyBorder="0">
      <protection locked="0"/>
    </xf>
    <xf numFmtId="221" fontId="146" fillId="0" borderId="0" applyFill="0" applyBorder="0">
      <protection locked="0"/>
    </xf>
    <xf numFmtId="222" fontId="5" fillId="0" borderId="0" applyFill="0" applyBorder="0">
      <protection locked="0"/>
    </xf>
    <xf numFmtId="223" fontId="5" fillId="0" borderId="0" applyFill="0" applyBorder="0">
      <protection locked="0"/>
    </xf>
    <xf numFmtId="224" fontId="5" fillId="0" borderId="0" applyFill="0" applyBorder="0">
      <protection locked="0"/>
    </xf>
    <xf numFmtId="202" fontId="5" fillId="0" borderId="0" applyFill="0" applyBorder="0">
      <protection locked="0"/>
    </xf>
    <xf numFmtId="242" fontId="5" fillId="0" borderId="0" applyFill="0" applyBorder="0">
      <protection locked="0"/>
    </xf>
    <xf numFmtId="9" fontId="146" fillId="0" borderId="0" applyFill="0" applyBorder="0">
      <protection locked="0"/>
    </xf>
    <xf numFmtId="173" fontId="146" fillId="0" borderId="0" applyFill="0" applyBorder="0">
      <protection locked="0"/>
    </xf>
    <xf numFmtId="10" fontId="146" fillId="0" borderId="0" applyFill="0" applyBorder="0">
      <protection locked="0"/>
    </xf>
    <xf numFmtId="49" fontId="146" fillId="0" borderId="39" applyFill="0" applyBorder="0">
      <protection locked="0"/>
    </xf>
    <xf numFmtId="49" fontId="146" fillId="0" borderId="39" applyFill="0" applyBorder="0">
      <protection locked="0"/>
    </xf>
    <xf numFmtId="49" fontId="146" fillId="0" borderId="39" applyFill="0" applyBorder="0">
      <protection locked="0"/>
    </xf>
    <xf numFmtId="49" fontId="146" fillId="0" borderId="39" applyFill="0" applyBorder="0">
      <protection locked="0"/>
    </xf>
    <xf numFmtId="49" fontId="146" fillId="0" borderId="39" applyFill="0" applyBorder="0">
      <protection locked="0"/>
    </xf>
    <xf numFmtId="49" fontId="146" fillId="0" borderId="39" applyFill="0" applyBorder="0">
      <protection locked="0"/>
    </xf>
    <xf numFmtId="10" fontId="52" fillId="33" borderId="2" applyNumberFormat="0" applyBorder="0" applyAlignment="0" applyProtection="0"/>
    <xf numFmtId="10" fontId="52" fillId="33" borderId="2" applyNumberFormat="0" applyBorder="0" applyAlignment="0" applyProtection="0"/>
    <xf numFmtId="10" fontId="52" fillId="33" borderId="2" applyNumberFormat="0" applyBorder="0" applyAlignment="0" applyProtection="0"/>
    <xf numFmtId="10" fontId="52" fillId="33" borderId="2" applyNumberFormat="0" applyBorder="0" applyAlignment="0" applyProtection="0"/>
    <xf numFmtId="10" fontId="52" fillId="33" borderId="2" applyNumberFormat="0" applyBorder="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181" fontId="60" fillId="60" borderId="0"/>
    <xf numFmtId="0" fontId="170" fillId="63" borderId="0">
      <alignment horizontal="right"/>
    </xf>
    <xf numFmtId="8" fontId="52" fillId="33" borderId="0" applyFont="0" applyBorder="0" applyAlignment="0" applyProtection="0">
      <protection locked="0"/>
    </xf>
    <xf numFmtId="14" fontId="171" fillId="0" borderId="0"/>
    <xf numFmtId="279" fontId="139" fillId="51" borderId="0"/>
    <xf numFmtId="293" fontId="52" fillId="33" borderId="0" applyFont="0" applyBorder="0" applyAlignment="0">
      <protection locked="0"/>
    </xf>
    <xf numFmtId="0" fontId="171" fillId="0" borderId="0"/>
    <xf numFmtId="37" fontId="30" fillId="33" borderId="0"/>
    <xf numFmtId="37" fontId="37" fillId="33" borderId="0" applyFont="0" applyProtection="0"/>
    <xf numFmtId="37" fontId="30" fillId="33" borderId="0"/>
    <xf numFmtId="212" fontId="171" fillId="0" borderId="0">
      <alignment horizontal="right"/>
    </xf>
    <xf numFmtId="0" fontId="30" fillId="33" borderId="0"/>
    <xf numFmtId="10" fontId="52" fillId="33" borderId="0">
      <protection locked="0"/>
    </xf>
    <xf numFmtId="212" fontId="171" fillId="0" borderId="0">
      <alignment horizontal="right"/>
    </xf>
    <xf numFmtId="206" fontId="172" fillId="33" borderId="0" applyNumberFormat="0" applyBorder="0" applyAlignment="0">
      <protection locked="0"/>
    </xf>
    <xf numFmtId="0" fontId="5" fillId="0" borderId="0" applyNumberFormat="0" applyFill="0" applyBorder="0" applyAlignment="0">
      <protection locked="0"/>
    </xf>
    <xf numFmtId="0" fontId="5" fillId="0" borderId="2" applyNumberFormat="0">
      <alignment horizontal="left" wrapText="1"/>
      <protection locked="0"/>
    </xf>
    <xf numFmtId="0" fontId="5" fillId="0" borderId="2" applyNumberFormat="0">
      <alignment horizontal="left" wrapText="1"/>
      <protection locked="0"/>
    </xf>
    <xf numFmtId="0" fontId="5" fillId="0" borderId="2" applyNumberFormat="0">
      <alignment horizontal="left" wrapText="1"/>
      <protection locked="0"/>
    </xf>
    <xf numFmtId="0" fontId="5" fillId="0" borderId="2" applyNumberFormat="0">
      <alignment horizontal="left" wrapText="1"/>
      <protection locked="0"/>
    </xf>
    <xf numFmtId="0" fontId="5" fillId="0" borderId="2" applyNumberFormat="0">
      <alignment horizontal="left" wrapText="1"/>
      <protection locked="0"/>
    </xf>
    <xf numFmtId="299" fontId="173" fillId="0" borderId="0" applyFill="0" applyBorder="0" applyProtection="0">
      <alignment vertical="center"/>
    </xf>
    <xf numFmtId="257" fontId="173" fillId="0" borderId="0" applyFill="0" applyBorder="0" applyProtection="0">
      <alignment vertical="center"/>
    </xf>
    <xf numFmtId="300" fontId="173" fillId="0" borderId="0" applyFill="0" applyBorder="0" applyProtection="0">
      <alignment vertical="center"/>
    </xf>
    <xf numFmtId="301" fontId="173" fillId="0" borderId="0" applyFill="0" applyBorder="0" applyProtection="0">
      <alignment vertical="center"/>
    </xf>
    <xf numFmtId="302" fontId="5" fillId="0" borderId="0"/>
    <xf numFmtId="39" fontId="52" fillId="37" borderId="0"/>
    <xf numFmtId="38" fontId="174" fillId="0" borderId="0" applyNumberFormat="0" applyBorder="0" applyProtection="0">
      <alignment horizontal="left"/>
    </xf>
    <xf numFmtId="303" fontId="52" fillId="0" borderId="0" applyFill="0" applyBorder="0">
      <alignment horizontal="right"/>
      <protection locked="0"/>
    </xf>
    <xf numFmtId="0" fontId="26" fillId="42" borderId="30">
      <alignment horizontal="left" vertical="center" wrapText="1"/>
    </xf>
    <xf numFmtId="0" fontId="26" fillId="42" borderId="30">
      <alignment horizontal="left" vertical="center" wrapText="1"/>
    </xf>
    <xf numFmtId="0" fontId="26" fillId="42" borderId="30">
      <alignment horizontal="left" vertical="center" wrapText="1"/>
    </xf>
    <xf numFmtId="260" fontId="5" fillId="0" borderId="0" applyNumberFormat="0" applyFill="0" applyBorder="0" applyAlignment="0" applyProtection="0"/>
    <xf numFmtId="0" fontId="64" fillId="0" borderId="0" applyNumberFormat="0" applyFont="0" applyFill="0" applyBorder="0" applyAlignment="0" applyProtection="0"/>
    <xf numFmtId="0" fontId="5" fillId="33" borderId="2" applyNumberFormat="0" applyProtection="0">
      <alignment vertical="center" wrapText="1"/>
    </xf>
    <xf numFmtId="0" fontId="5" fillId="33" borderId="2" applyNumberFormat="0" applyProtection="0">
      <alignment vertical="center" wrapText="1"/>
    </xf>
    <xf numFmtId="0" fontId="5" fillId="33" borderId="2" applyNumberFormat="0" applyProtection="0">
      <alignment vertical="center" wrapText="1"/>
    </xf>
    <xf numFmtId="0" fontId="5" fillId="33" borderId="2" applyNumberFormat="0" applyProtection="0">
      <alignment vertical="center" wrapText="1"/>
    </xf>
    <xf numFmtId="0" fontId="5" fillId="33" borderId="2" applyNumberFormat="0" applyProtection="0">
      <alignment vertical="center" wrapText="1"/>
    </xf>
    <xf numFmtId="0" fontId="151" fillId="0" borderId="5">
      <alignment horizontal="right"/>
    </xf>
    <xf numFmtId="0" fontId="151" fillId="0" borderId="5">
      <alignment horizontal="right"/>
    </xf>
    <xf numFmtId="0" fontId="151" fillId="0" borderId="5">
      <alignment horizontal="right"/>
    </xf>
    <xf numFmtId="2" fontId="32" fillId="37" borderId="0"/>
    <xf numFmtId="0" fontId="5" fillId="0" borderId="0" applyNumberFormat="0" applyFont="0" applyFill="0" applyBorder="0">
      <alignment horizontal="left"/>
    </xf>
    <xf numFmtId="0" fontId="175" fillId="0" borderId="0" applyNumberFormat="0" applyFill="0" applyBorder="0" applyAlignment="0" applyProtection="0">
      <alignment vertical="top"/>
      <protection locked="0"/>
    </xf>
    <xf numFmtId="0" fontId="176" fillId="0" borderId="0" applyNumberFormat="0" applyFill="0" applyBorder="0" applyAlignment="0" applyProtection="0">
      <alignment vertical="top"/>
      <protection locked="0"/>
    </xf>
    <xf numFmtId="0" fontId="5" fillId="48" borderId="56" applyNumberFormat="0" applyFont="0" applyBorder="0" applyAlignment="0">
      <alignment horizontal="center" vertical="top"/>
    </xf>
    <xf numFmtId="0" fontId="177" fillId="0" borderId="0"/>
    <xf numFmtId="0" fontId="178" fillId="0" borderId="0">
      <alignment horizontal="left" vertical="center" indent="1"/>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0">
      <alignment horizontal="right"/>
    </xf>
    <xf numFmtId="210" fontId="23" fillId="0" borderId="0">
      <alignment horizontal="left"/>
    </xf>
    <xf numFmtId="0" fontId="52" fillId="36" borderId="0"/>
    <xf numFmtId="42" fontId="39" fillId="0" borderId="0" applyFill="0" applyBorder="0" applyAlignment="0"/>
    <xf numFmtId="209" fontId="67" fillId="0" borderId="0" applyFill="0" applyBorder="0" applyAlignment="0"/>
    <xf numFmtId="42" fontId="39" fillId="0" borderId="0" applyFill="0" applyBorder="0" applyAlignment="0"/>
    <xf numFmtId="218" fontId="5" fillId="0" borderId="0" applyFill="0" applyBorder="0" applyAlignment="0"/>
    <xf numFmtId="209" fontId="67" fillId="0" borderId="0" applyFill="0" applyBorder="0" applyAlignment="0"/>
    <xf numFmtId="181" fontId="179" fillId="41" borderId="0"/>
    <xf numFmtId="38" fontId="180" fillId="0" borderId="0" applyNumberFormat="0" applyFill="0" applyBorder="0" applyAlignment="0" applyProtection="0"/>
    <xf numFmtId="3" fontId="181" fillId="0" borderId="0" applyFill="0" applyBorder="0" applyAlignment="0" applyProtection="0"/>
    <xf numFmtId="9" fontId="63" fillId="36" borderId="0" applyNumberFormat="0" applyFont="0" applyBorder="0" applyAlignment="0">
      <protection locked="0"/>
    </xf>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0" fontId="149" fillId="0" borderId="0"/>
    <xf numFmtId="0" fontId="182" fillId="0" borderId="0"/>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296" fontId="183" fillId="0" borderId="0" applyFill="0" applyBorder="0" applyAlignment="0" applyProtection="0"/>
    <xf numFmtId="37" fontId="151" fillId="0" borderId="0" applyBorder="0">
      <alignment horizontal="right"/>
    </xf>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38" fontId="39" fillId="0" borderId="0" applyFont="0" applyFill="0" applyBorder="0" applyAlignment="0" applyProtection="0"/>
    <xf numFmtId="40" fontId="39" fillId="0" borderId="0" applyFont="0" applyFill="0" applyBorder="0" applyAlignment="0" applyProtection="0"/>
    <xf numFmtId="305" fontId="5" fillId="0" borderId="0" applyFont="0" applyFill="0" applyBorder="0" applyAlignment="0" applyProtection="0"/>
    <xf numFmtId="306" fontId="5" fillId="0" borderId="0" applyFont="0" applyFill="0" applyBorder="0" applyAlignment="0" applyProtection="0"/>
    <xf numFmtId="307" fontId="5" fillId="0" borderId="0" applyFont="0" applyFill="0" applyBorder="0" applyAlignment="0" applyProtection="0"/>
    <xf numFmtId="308" fontId="5" fillId="0" borderId="0" applyFont="0" applyFill="0" applyBorder="0" applyAlignment="0" applyProtection="0"/>
    <xf numFmtId="309" fontId="184" fillId="0" borderId="0" applyFont="0" applyFill="0" applyBorder="0"/>
    <xf numFmtId="310" fontId="5" fillId="0" borderId="0" applyFont="0" applyFill="0" applyBorder="0"/>
    <xf numFmtId="310" fontId="5" fillId="0" borderId="0" applyFont="0" applyFill="0" applyBorder="0"/>
    <xf numFmtId="311" fontId="5" fillId="0" borderId="0"/>
    <xf numFmtId="310" fontId="5" fillId="0" borderId="0" applyFont="0" applyFill="0" applyBorder="0"/>
    <xf numFmtId="312" fontId="5" fillId="0" borderId="0" applyFont="0" applyFill="0" applyBorder="0" applyAlignment="0" applyProtection="0"/>
    <xf numFmtId="313" fontId="5" fillId="0" borderId="0" applyFont="0" applyFill="0" applyBorder="0" applyAlignment="0" applyProtection="0"/>
    <xf numFmtId="314" fontId="5" fillId="0" borderId="0" applyFont="0" applyFill="0" applyBorder="0" applyAlignment="0" applyProtection="0"/>
    <xf numFmtId="308" fontId="5" fillId="0" borderId="0" applyFont="0" applyFill="0" applyBorder="0" applyAlignment="0" applyProtection="0"/>
    <xf numFmtId="0" fontId="137" fillId="0" borderId="0">
      <protection locked="0"/>
    </xf>
    <xf numFmtId="315" fontId="67" fillId="0" borderId="0" applyFont="0" applyFill="0" applyBorder="0" applyAlignment="0" applyProtection="0">
      <alignment horizontal="left" vertical="center"/>
    </xf>
    <xf numFmtId="237" fontId="5" fillId="0" borderId="0" applyFont="0" applyFill="0" applyBorder="0" applyAlignment="0" applyProtection="0"/>
    <xf numFmtId="316" fontId="52" fillId="0" borderId="0" applyFont="0" applyFill="0" applyBorder="0" applyAlignment="0" applyProtection="0"/>
    <xf numFmtId="0" fontId="72" fillId="0" borderId="0" applyFont="0" applyFill="0" applyBorder="0" applyAlignment="0" applyProtection="0"/>
    <xf numFmtId="0" fontId="7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7" fontId="78" fillId="0" borderId="0" applyFont="0" applyFill="0" applyBorder="0" applyProtection="0"/>
    <xf numFmtId="318" fontId="78" fillId="0" borderId="0" applyFont="0" applyFill="0" applyBorder="0" applyProtection="0"/>
    <xf numFmtId="209" fontId="5" fillId="0" borderId="0" applyFont="0" applyFill="0" applyBorder="0" applyAlignment="0" applyProtection="0"/>
    <xf numFmtId="300" fontId="113" fillId="0" borderId="0" applyFill="0" applyBorder="0" applyProtection="0">
      <alignment vertical="center"/>
    </xf>
    <xf numFmtId="213" fontId="5" fillId="0" borderId="57">
      <alignment horizontal="right"/>
    </xf>
    <xf numFmtId="319" fontId="52" fillId="36" borderId="0" applyFont="0" applyBorder="0" applyAlignment="0" applyProtection="0">
      <alignment horizontal="right"/>
      <protection hidden="1"/>
    </xf>
    <xf numFmtId="0" fontId="185" fillId="0" borderId="0"/>
    <xf numFmtId="0" fontId="11" fillId="5" borderId="0" applyNumberFormat="0" applyBorder="0" applyAlignment="0" applyProtection="0"/>
    <xf numFmtId="0" fontId="23" fillId="0" borderId="0"/>
    <xf numFmtId="0" fontId="186" fillId="0" borderId="58" applyNumberFormat="0" applyAlignment="0"/>
    <xf numFmtId="15" fontId="5" fillId="64" borderId="18" applyNumberFormat="0" applyBorder="0" applyAlignment="0">
      <alignment horizontal="center"/>
    </xf>
    <xf numFmtId="37" fontId="187" fillId="0" borderId="0"/>
    <xf numFmtId="0" fontId="5" fillId="0" borderId="59">
      <alignment horizontal="center"/>
    </xf>
    <xf numFmtId="0" fontId="5" fillId="36" borderId="2" applyNumberFormat="0" applyAlignment="0"/>
    <xf numFmtId="0" fontId="5" fillId="36" borderId="2" applyNumberFormat="0" applyAlignment="0"/>
    <xf numFmtId="0" fontId="5" fillId="36" borderId="2" applyNumberFormat="0" applyAlignment="0"/>
    <xf numFmtId="0" fontId="5" fillId="36" borderId="2" applyNumberFormat="0" applyAlignment="0"/>
    <xf numFmtId="0" fontId="5" fillId="36" borderId="2" applyNumberFormat="0" applyAlignment="0"/>
    <xf numFmtId="320" fontId="78" fillId="0" borderId="0" applyFont="0" applyFill="0" applyBorder="0" applyProtection="0"/>
    <xf numFmtId="321" fontId="78" fillId="0" borderId="0" applyFont="0" applyFill="0" applyBorder="0" applyProtection="0"/>
    <xf numFmtId="322" fontId="78" fillId="0" borderId="0" applyFont="0" applyFill="0" applyBorder="0" applyProtection="0"/>
    <xf numFmtId="323" fontId="78" fillId="0" borderId="0" applyFont="0" applyFill="0" applyBorder="0" applyProtection="0"/>
    <xf numFmtId="324" fontId="78" fillId="0" borderId="0" applyFont="0" applyFill="0" applyBorder="0" applyProtection="0"/>
    <xf numFmtId="0" fontId="23" fillId="0" borderId="0"/>
    <xf numFmtId="325" fontId="52" fillId="0" borderId="0" applyFont="0" applyFill="0" applyBorder="0" applyAlignment="0" applyProtection="0">
      <alignment horizontal="right"/>
    </xf>
    <xf numFmtId="326" fontId="23" fillId="0" borderId="0"/>
    <xf numFmtId="0" fontId="5"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38" fontId="30" fillId="0" borderId="0" applyFont="0" applyFill="0" applyBorder="0" applyAlignment="0" applyProtection="0"/>
    <xf numFmtId="0" fontId="23" fillId="0" borderId="0" applyFont="0" applyFill="0" applyBorder="0" applyAlignment="0" applyProtection="0"/>
    <xf numFmtId="40" fontId="52" fillId="0" borderId="0" applyFont="0" applyFill="0" applyBorder="0" applyAlignment="0"/>
    <xf numFmtId="194" fontId="52" fillId="0" borderId="0" applyFont="0" applyFill="0" applyBorder="0" applyAlignment="0"/>
    <xf numFmtId="0" fontId="5" fillId="0" borderId="0"/>
    <xf numFmtId="0" fontId="1" fillId="0" borderId="0"/>
    <xf numFmtId="0" fontId="114" fillId="0" borderId="0"/>
    <xf numFmtId="0" fontId="1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5" fillId="0" borderId="0">
      <alignment wrapText="1"/>
    </xf>
    <xf numFmtId="0" fontId="5" fillId="0" borderId="0">
      <alignment wrapText="1"/>
    </xf>
    <xf numFmtId="0" fontId="1" fillId="0" borderId="0"/>
    <xf numFmtId="0" fontId="5" fillId="0" borderId="0" applyNumberFormat="0" applyFill="0" applyBorder="0" applyAlignment="0" applyProtection="0"/>
    <xf numFmtId="0" fontId="5" fillId="0" borderId="0"/>
    <xf numFmtId="0" fontId="5" fillId="0" borderId="0">
      <alignment vertical="center"/>
    </xf>
    <xf numFmtId="0" fontId="5" fillId="0" borderId="0">
      <alignment vertical="center"/>
    </xf>
    <xf numFmtId="0" fontId="39"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4" fillId="0" borderId="0"/>
    <xf numFmtId="0" fontId="1" fillId="0" borderId="0"/>
    <xf numFmtId="0" fontId="1" fillId="0" borderId="0"/>
    <xf numFmtId="0" fontId="114" fillId="0" borderId="0"/>
    <xf numFmtId="0" fontId="1" fillId="0" borderId="0"/>
    <xf numFmtId="0" fontId="1" fillId="0" borderId="0"/>
    <xf numFmtId="0" fontId="114" fillId="0" borderId="0"/>
    <xf numFmtId="0" fontId="5" fillId="0" borderId="0">
      <alignment vertical="center"/>
    </xf>
    <xf numFmtId="0" fontId="5" fillId="0" borderId="0">
      <alignment vertical="center"/>
    </xf>
    <xf numFmtId="0" fontId="39" fillId="0" borderId="0"/>
    <xf numFmtId="0" fontId="5" fillId="0" borderId="0"/>
    <xf numFmtId="0" fontId="1" fillId="0" borderId="0"/>
    <xf numFmtId="0" fontId="188" fillId="0" borderId="0"/>
    <xf numFmtId="0" fontId="114" fillId="0" borderId="0"/>
    <xf numFmtId="0" fontId="114" fillId="0" borderId="0"/>
    <xf numFmtId="0" fontId="114" fillId="0" borderId="0"/>
    <xf numFmtId="0" fontId="114" fillId="0" borderId="0"/>
    <xf numFmtId="0" fontId="1" fillId="0" borderId="0"/>
    <xf numFmtId="0" fontId="114" fillId="0" borderId="0"/>
    <xf numFmtId="0" fontId="1" fillId="0" borderId="0"/>
    <xf numFmtId="0" fontId="1" fillId="0" borderId="0"/>
    <xf numFmtId="0" fontId="188" fillId="0" borderId="0"/>
    <xf numFmtId="0" fontId="1" fillId="0" borderId="0"/>
    <xf numFmtId="0" fontId="1" fillId="0" borderId="0"/>
    <xf numFmtId="0" fontId="114" fillId="0" borderId="0"/>
    <xf numFmtId="0" fontId="1" fillId="0" borderId="0"/>
    <xf numFmtId="0" fontId="1" fillId="0" borderId="0"/>
    <xf numFmtId="0" fontId="114" fillId="0" borderId="0"/>
    <xf numFmtId="0" fontId="1" fillId="0" borderId="0"/>
    <xf numFmtId="0" fontId="1" fillId="0" borderId="0"/>
    <xf numFmtId="0" fontId="114" fillId="0" borderId="0"/>
    <xf numFmtId="0" fontId="1" fillId="0" borderId="0"/>
    <xf numFmtId="0" fontId="1" fillId="0" borderId="0"/>
    <xf numFmtId="0" fontId="114"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35" fillId="0" borderId="0"/>
    <xf numFmtId="0" fontId="1" fillId="0" borderId="0"/>
    <xf numFmtId="0" fontId="78" fillId="0" borderId="0"/>
    <xf numFmtId="0" fontId="114" fillId="0" borderId="0"/>
    <xf numFmtId="0" fontId="114" fillId="0" borderId="0"/>
    <xf numFmtId="0" fontId="114" fillId="0" borderId="0"/>
    <xf numFmtId="0" fontId="35" fillId="0" borderId="0"/>
    <xf numFmtId="0" fontId="5" fillId="0" borderId="0">
      <alignment vertical="center"/>
    </xf>
    <xf numFmtId="0" fontId="5"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9" fillId="0" borderId="0"/>
    <xf numFmtId="0" fontId="1" fillId="0" borderId="0"/>
    <xf numFmtId="0" fontId="1" fillId="0" borderId="0"/>
    <xf numFmtId="0" fontId="1" fillId="0" borderId="0"/>
    <xf numFmtId="0" fontId="1" fillId="0" borderId="0"/>
    <xf numFmtId="0" fontId="1" fillId="0" borderId="0"/>
    <xf numFmtId="0" fontId="78" fillId="0" borderId="0"/>
    <xf numFmtId="0" fontId="114" fillId="0" borderId="0"/>
    <xf numFmtId="0" fontId="189" fillId="0" borderId="0"/>
    <xf numFmtId="0" fontId="22"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4"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4" fillId="0" borderId="0"/>
    <xf numFmtId="0" fontId="114" fillId="0" borderId="0"/>
    <xf numFmtId="0" fontId="78" fillId="0" borderId="0"/>
    <xf numFmtId="0" fontId="114" fillId="0" borderId="0"/>
    <xf numFmtId="0" fontId="114" fillId="0" borderId="0"/>
    <xf numFmtId="0" fontId="114" fillId="0" borderId="0"/>
    <xf numFmtId="0" fontId="114" fillId="0" borderId="0"/>
    <xf numFmtId="0" fontId="114" fillId="0" borderId="0"/>
    <xf numFmtId="0" fontId="5" fillId="0" borderId="0"/>
    <xf numFmtId="0" fontId="5" fillId="0" borderId="0"/>
    <xf numFmtId="0" fontId="1" fillId="0" borderId="0"/>
    <xf numFmtId="0" fontId="114" fillId="0" borderId="0"/>
    <xf numFmtId="0" fontId="46" fillId="0" borderId="0">
      <alignment vertical="top"/>
    </xf>
    <xf numFmtId="0" fontId="115"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 fillId="0" borderId="0"/>
    <xf numFmtId="0" fontId="1" fillId="0" borderId="0"/>
    <xf numFmtId="0" fontId="39" fillId="0" borderId="0"/>
    <xf numFmtId="206" fontId="63" fillId="0" borderId="0" applyNumberFormat="0" applyFill="0" applyBorder="0" applyAlignment="0" applyProtection="0"/>
    <xf numFmtId="38" fontId="190" fillId="0" borderId="0" applyFill="0" applyBorder="0" applyProtection="0"/>
    <xf numFmtId="206" fontId="63" fillId="0" borderId="0" applyNumberFormat="0" applyFill="0" applyBorder="0" applyAlignment="0" applyProtection="0"/>
    <xf numFmtId="327" fontId="52" fillId="0" borderId="0" applyFont="0" applyFill="0" applyBorder="0" applyAlignment="0" applyProtection="0"/>
    <xf numFmtId="328" fontId="5" fillId="52" borderId="5">
      <alignment horizontal="center"/>
    </xf>
    <xf numFmtId="328" fontId="5" fillId="52" borderId="5">
      <alignment horizontal="center"/>
    </xf>
    <xf numFmtId="328" fontId="5" fillId="52" borderId="5">
      <alignment horizontal="center"/>
    </xf>
    <xf numFmtId="328" fontId="5" fillId="0" borderId="0">
      <alignment horizontal="center"/>
    </xf>
    <xf numFmtId="329" fontId="5" fillId="0" borderId="0">
      <alignment horizontal="center"/>
    </xf>
    <xf numFmtId="330" fontId="52" fillId="0" borderId="0"/>
    <xf numFmtId="0" fontId="5" fillId="0" borderId="0" applyFont="0" applyAlignment="0">
      <alignment horizontal="center"/>
    </xf>
    <xf numFmtId="0" fontId="5" fillId="0" borderId="0" applyFont="0" applyAlignment="0">
      <alignment horizontal="center"/>
    </xf>
    <xf numFmtId="0" fontId="5" fillId="0" borderId="0" applyFont="0" applyAlignment="0">
      <alignment horizontal="center"/>
    </xf>
    <xf numFmtId="331" fontId="5" fillId="0" borderId="0"/>
    <xf numFmtId="6" fontId="191" fillId="0" borderId="0">
      <alignment horizontal="center"/>
    </xf>
    <xf numFmtId="0" fontId="39" fillId="0" borderId="0"/>
    <xf numFmtId="0" fontId="52" fillId="33" borderId="2">
      <alignment horizontal="center"/>
      <protection locked="0"/>
    </xf>
    <xf numFmtId="0" fontId="52" fillId="33" borderId="2">
      <alignment horizontal="center"/>
      <protection locked="0"/>
    </xf>
    <xf numFmtId="0" fontId="52" fillId="33" borderId="2">
      <alignment horizontal="center"/>
      <protection locked="0"/>
    </xf>
    <xf numFmtId="0" fontId="52" fillId="33" borderId="2">
      <alignment horizontal="center"/>
      <protection locked="0"/>
    </xf>
    <xf numFmtId="0" fontId="52" fillId="33" borderId="2">
      <alignment horizontal="center"/>
      <protection locked="0"/>
    </xf>
    <xf numFmtId="206" fontId="52" fillId="33" borderId="0">
      <protection locked="0"/>
    </xf>
    <xf numFmtId="0" fontId="52" fillId="33" borderId="0">
      <protection locked="0"/>
    </xf>
    <xf numFmtId="332" fontId="5" fillId="0" borderId="0">
      <alignment horizontal="center" vertical="center"/>
    </xf>
    <xf numFmtId="206" fontId="52" fillId="0" borderId="0"/>
    <xf numFmtId="333" fontId="5" fillId="0" borderId="0"/>
    <xf numFmtId="334" fontId="5" fillId="0" borderId="0">
      <protection locked="0"/>
    </xf>
    <xf numFmtId="335" fontId="52" fillId="0" borderId="0" applyFont="0" applyFill="0" applyBorder="0" applyAlignment="0" applyProtection="0"/>
    <xf numFmtId="336" fontId="52" fillId="0" borderId="0" applyFont="0" applyFill="0" applyBorder="0" applyAlignment="0" applyProtection="0"/>
    <xf numFmtId="0" fontId="5" fillId="65" borderId="2" applyNumberFormat="0" applyFont="0" applyBorder="0" applyAlignment="0" applyProtection="0"/>
    <xf numFmtId="0" fontId="5" fillId="65" borderId="2" applyNumberFormat="0" applyFont="0" applyBorder="0" applyAlignment="0" applyProtection="0"/>
    <xf numFmtId="0" fontId="5" fillId="65" borderId="2" applyNumberFormat="0" applyFont="0" applyBorder="0" applyAlignment="0" applyProtection="0"/>
    <xf numFmtId="0" fontId="5" fillId="65" borderId="2" applyNumberFormat="0" applyFont="0" applyBorder="0" applyAlignment="0" applyProtection="0"/>
    <xf numFmtId="0" fontId="5" fillId="65" borderId="2" applyNumberFormat="0" applyFont="0" applyBorder="0" applyAlignment="0" applyProtection="0"/>
    <xf numFmtId="238" fontId="192" fillId="0" borderId="60" applyNumberFormat="0" applyBorder="0" applyAlignment="0" applyProtection="0">
      <alignment horizontal="center" vertical="center"/>
    </xf>
    <xf numFmtId="0" fontId="5" fillId="66" borderId="61" applyNumberFormat="0" applyFont="0" applyAlignment="0" applyProtection="0"/>
    <xf numFmtId="0" fontId="5" fillId="66" borderId="61" applyNumberFormat="0" applyFont="0" applyAlignment="0" applyProtection="0"/>
    <xf numFmtId="0" fontId="5" fillId="66" borderId="61" applyNumberFormat="0" applyFont="0" applyAlignment="0" applyProtection="0"/>
    <xf numFmtId="0" fontId="5" fillId="66" borderId="61" applyNumberFormat="0" applyFont="0" applyAlignment="0" applyProtection="0"/>
    <xf numFmtId="0" fontId="5" fillId="66" borderId="61" applyNumberFormat="0" applyFont="0" applyAlignment="0" applyProtection="0"/>
    <xf numFmtId="0" fontId="5" fillId="66" borderId="61" applyNumberFormat="0" applyFont="0" applyAlignment="0" applyProtection="0"/>
    <xf numFmtId="337" fontId="193" fillId="0" borderId="0"/>
    <xf numFmtId="40" fontId="194" fillId="0" borderId="0" applyFill="0" applyBorder="0" applyProtection="0"/>
    <xf numFmtId="338" fontId="52" fillId="0" borderId="0" applyFont="0" applyFill="0" applyBorder="0" applyAlignment="0" applyProtection="0"/>
    <xf numFmtId="38" fontId="195" fillId="0" borderId="0"/>
    <xf numFmtId="37" fontId="23" fillId="0" borderId="0"/>
    <xf numFmtId="0" fontId="5" fillId="0" borderId="0"/>
    <xf numFmtId="0" fontId="5" fillId="0" borderId="0"/>
    <xf numFmtId="339" fontId="78" fillId="0" borderId="0" applyFont="0" applyFill="0" applyBorder="0" applyProtection="0"/>
    <xf numFmtId="340" fontId="78" fillId="0" borderId="0" applyFont="0" applyFill="0" applyBorder="0" applyProtection="0"/>
    <xf numFmtId="341" fontId="78" fillId="0" borderId="0" applyFont="0" applyFill="0" applyBorder="0" applyProtection="0"/>
    <xf numFmtId="0" fontId="5" fillId="0" borderId="0"/>
    <xf numFmtId="342" fontId="5" fillId="0" borderId="0"/>
    <xf numFmtId="342" fontId="5" fillId="0" borderId="0"/>
    <xf numFmtId="342" fontId="5" fillId="0" borderId="0"/>
    <xf numFmtId="37" fontId="5" fillId="0" borderId="0"/>
    <xf numFmtId="343" fontId="5" fillId="0" borderId="0" applyNumberFormat="0" applyFill="0" applyBorder="0" applyAlignment="0" applyProtection="0"/>
    <xf numFmtId="0" fontId="63"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96"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234" fontId="5" fillId="0" borderId="0" applyNumberFormat="0" applyFill="0" applyBorder="0" applyAlignment="0" applyProtection="0"/>
    <xf numFmtId="4" fontId="5" fillId="0" borderId="0"/>
    <xf numFmtId="344" fontId="52" fillId="0" borderId="0" applyFont="0" applyFill="0" applyBorder="0" applyAlignment="0" applyProtection="0"/>
    <xf numFmtId="218" fontId="5" fillId="0" borderId="0" applyFont="0" applyFill="0" applyBorder="0" applyAlignment="0" applyProtection="0"/>
    <xf numFmtId="285" fontId="5" fillId="0" borderId="0" applyFont="0" applyFill="0" applyBorder="0" applyAlignment="0" applyProtection="0"/>
    <xf numFmtId="40" fontId="197" fillId="0" borderId="0" applyFont="0" applyFill="0" applyBorder="0" applyAlignment="0" applyProtection="0"/>
    <xf numFmtId="38" fontId="197" fillId="0" borderId="0" applyFont="0" applyFill="0" applyBorder="0" applyAlignment="0" applyProtection="0"/>
    <xf numFmtId="0" fontId="5" fillId="0" borderId="0">
      <alignment horizontal="left" vertical="top"/>
      <protection locked="0"/>
    </xf>
    <xf numFmtId="0" fontId="198" fillId="0" borderId="0">
      <alignment horizontal="left"/>
    </xf>
    <xf numFmtId="345" fontId="5" fillId="0" borderId="0"/>
    <xf numFmtId="345" fontId="5" fillId="0" borderId="0"/>
    <xf numFmtId="40" fontId="46" fillId="55" borderId="0">
      <alignment horizontal="right"/>
    </xf>
    <xf numFmtId="0" fontId="199" fillId="42" borderId="0">
      <alignment horizontal="center"/>
    </xf>
    <xf numFmtId="0" fontId="200" fillId="67" borderId="0"/>
    <xf numFmtId="0" fontId="201" fillId="0" borderId="0"/>
    <xf numFmtId="9" fontId="202" fillId="0" borderId="0" applyBorder="0">
      <alignment horizontal="right"/>
    </xf>
    <xf numFmtId="0" fontId="201" fillId="0" borderId="0"/>
    <xf numFmtId="0" fontId="203" fillId="55" borderId="0" applyBorder="0">
      <alignment horizontal="centerContinuous"/>
    </xf>
    <xf numFmtId="0" fontId="204" fillId="67" borderId="0" applyBorder="0">
      <alignment horizontal="centerContinuous"/>
    </xf>
    <xf numFmtId="216" fontId="5" fillId="0" borderId="0" applyFont="0" applyFill="0" applyBorder="0" applyAlignment="0" applyProtection="0"/>
    <xf numFmtId="346" fontId="5" fillId="0" borderId="0" applyFont="0" applyFill="0" applyBorder="0" applyAlignment="0" applyProtection="0"/>
    <xf numFmtId="0" fontId="38" fillId="68" borderId="0" applyNumberFormat="0" applyFont="0" applyBorder="0" applyAlignment="0" applyProtection="0"/>
    <xf numFmtId="0" fontId="38" fillId="69" borderId="0" applyNumberFormat="0" applyFont="0" applyBorder="0" applyAlignment="0" applyProtection="0"/>
    <xf numFmtId="0" fontId="38" fillId="70" borderId="0" applyNumberFormat="0" applyFont="0" applyBorder="0" applyAlignment="0" applyProtection="0">
      <alignment horizontal="center"/>
    </xf>
    <xf numFmtId="0" fontId="38" fillId="71" borderId="62" applyNumberFormat="0" applyFont="0" applyBorder="0" applyAlignment="0" applyProtection="0"/>
    <xf numFmtId="0" fontId="38" fillId="72" borderId="62" applyNumberFormat="0" applyFont="0" applyBorder="0" applyAlignment="0"/>
    <xf numFmtId="0" fontId="38" fillId="73" borderId="62" applyNumberFormat="0" applyFont="0" applyBorder="0" applyAlignment="0"/>
    <xf numFmtId="0" fontId="52" fillId="74" borderId="0" applyNumberFormat="0" applyFont="0" applyBorder="0" applyAlignment="0" applyProtection="0">
      <alignment horizontal="center"/>
      <protection hidden="1"/>
    </xf>
    <xf numFmtId="0" fontId="205" fillId="0" borderId="0" applyFill="0" applyBorder="0" applyProtection="0">
      <alignment horizontal="left"/>
    </xf>
    <xf numFmtId="0" fontId="206" fillId="0" borderId="0" applyFill="0" applyBorder="0" applyProtection="0">
      <alignment horizontal="left"/>
    </xf>
    <xf numFmtId="0" fontId="5" fillId="0" borderId="0"/>
    <xf numFmtId="0" fontId="207" fillId="0" borderId="0"/>
    <xf numFmtId="0" fontId="5" fillId="39" borderId="0" applyNumberFormat="0" applyFont="0" applyBorder="0" applyAlignment="0" applyProtection="0">
      <protection hidden="1"/>
    </xf>
    <xf numFmtId="0" fontId="5" fillId="75" borderId="0" applyNumberFormat="0" applyFont="0" applyBorder="0" applyAlignment="0" applyProtection="0">
      <protection hidden="1"/>
    </xf>
    <xf numFmtId="0" fontId="5" fillId="76" borderId="0" applyNumberFormat="0" applyFont="0" applyBorder="0" applyAlignment="0" applyProtection="0">
      <protection hidden="1"/>
    </xf>
    <xf numFmtId="0" fontId="5" fillId="77" borderId="0" applyNumberFormat="0" applyFont="0" applyBorder="0" applyAlignment="0" applyProtection="0">
      <protection hidden="1"/>
    </xf>
    <xf numFmtId="0" fontId="5" fillId="78" borderId="0" applyNumberFormat="0" applyFont="0" applyBorder="0" applyAlignment="0" applyProtection="0">
      <protection hidden="1"/>
    </xf>
    <xf numFmtId="0" fontId="5" fillId="79" borderId="0" applyNumberFormat="0" applyFont="0" applyBorder="0" applyAlignment="0" applyProtection="0">
      <protection hidden="1"/>
    </xf>
    <xf numFmtId="347" fontId="52" fillId="0" borderId="0"/>
    <xf numFmtId="10" fontId="195" fillId="0" borderId="0"/>
    <xf numFmtId="14" fontId="65" fillId="0" borderId="0">
      <alignment horizontal="center" wrapText="1"/>
      <protection locked="0"/>
    </xf>
    <xf numFmtId="10" fontId="38" fillId="0" borderId="0"/>
    <xf numFmtId="348" fontId="112" fillId="0" borderId="0" applyFont="0" applyFill="0" applyBorder="0" applyAlignment="0" applyProtection="0"/>
    <xf numFmtId="349" fontId="23" fillId="0" borderId="0" applyFont="0" applyFill="0" applyBorder="0" applyAlignment="0" applyProtection="0"/>
    <xf numFmtId="350" fontId="5" fillId="0" borderId="0" applyFont="0" applyFill="0" applyBorder="0" applyAlignment="0" applyProtection="0"/>
    <xf numFmtId="351" fontId="5" fillId="0" borderId="0" applyFont="0" applyFill="0" applyBorder="0" applyAlignment="0" applyProtection="0"/>
    <xf numFmtId="0" fontId="52" fillId="0" borderId="0"/>
    <xf numFmtId="352" fontId="5" fillId="0" borderId="0" applyFont="0"/>
    <xf numFmtId="10" fontId="23" fillId="0" borderId="0" applyFont="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259" fontId="39" fillId="0" borderId="0" applyFont="0" applyFill="0" applyBorder="0" applyAlignment="0" applyProtection="0"/>
    <xf numFmtId="173" fontId="35" fillId="0" borderId="0" applyFont="0" applyFill="0" applyBorder="0" applyAlignment="0" applyProtection="0"/>
    <xf numFmtId="303" fontId="136" fillId="0" borderId="0" applyFill="0" applyBorder="0" applyAlignment="0" applyProtection="0"/>
    <xf numFmtId="173" fontId="35" fillId="0" borderId="0" applyFont="0" applyFill="0" applyBorder="0" applyAlignment="0" applyProtection="0"/>
    <xf numFmtId="353" fontId="136" fillId="33" borderId="2" applyFill="0" applyBorder="0" applyAlignment="0" applyProtection="0">
      <alignment horizontal="right"/>
      <protection locked="0"/>
    </xf>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0" fontId="23" fillId="33" borderId="0" applyFont="0" applyFill="0" applyBorder="0" applyAlignment="0" applyProtection="0"/>
    <xf numFmtId="0" fontId="23" fillId="33"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78"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4" fillId="0" borderId="0" applyFont="0" applyFill="0" applyBorder="0" applyAlignment="0" applyProtection="0"/>
    <xf numFmtId="9" fontId="1" fillId="0" borderId="0" applyFont="0" applyFill="0" applyBorder="0" applyAlignment="0" applyProtection="0"/>
    <xf numFmtId="9" fontId="11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354" fontId="65" fillId="0" borderId="0" applyFont="0" applyFill="0" applyBorder="0" applyProtection="0">
      <alignment horizontal="right"/>
    </xf>
    <xf numFmtId="355" fontId="5" fillId="0" borderId="0" applyFont="0" applyFill="0" applyBorder="0" applyAlignment="0" applyProtection="0"/>
    <xf numFmtId="355" fontId="5" fillId="0" borderId="0" applyFont="0" applyFill="0" applyBorder="0" applyAlignment="0" applyProtection="0"/>
    <xf numFmtId="355" fontId="5" fillId="0" borderId="0" applyFont="0" applyFill="0" applyBorder="0" applyAlignment="0" applyProtection="0"/>
    <xf numFmtId="173" fontId="5" fillId="0" borderId="0" applyFill="0" applyBorder="0"/>
    <xf numFmtId="356" fontId="5" fillId="0" borderId="0" applyFont="0" applyFill="0" applyBorder="0" applyAlignment="0" applyProtection="0">
      <alignment horizontal="left"/>
    </xf>
    <xf numFmtId="356" fontId="5" fillId="0" borderId="0" applyFont="0" applyFill="0" applyBorder="0" applyAlignment="0" applyProtection="0">
      <alignment horizontal="left"/>
    </xf>
    <xf numFmtId="356" fontId="5" fillId="0" borderId="0" applyFont="0" applyFill="0" applyBorder="0" applyAlignment="0" applyProtection="0">
      <alignment horizontal="left"/>
    </xf>
    <xf numFmtId="10" fontId="80" fillId="37" borderId="0"/>
    <xf numFmtId="0" fontId="72" fillId="0" borderId="0"/>
    <xf numFmtId="0" fontId="208" fillId="0" borderId="0" applyNumberFormat="0"/>
    <xf numFmtId="357" fontId="104" fillId="0" borderId="0" applyFont="0" applyFill="0" applyBorder="0" applyAlignment="0" applyProtection="0">
      <alignment horizontal="left" vertical="center"/>
    </xf>
    <xf numFmtId="37" fontId="209" fillId="0" borderId="0"/>
    <xf numFmtId="0" fontId="39" fillId="0" borderId="0" applyNumberFormat="0" applyFont="0" applyFill="0" applyBorder="0" applyAlignment="0" applyProtection="0">
      <alignment horizontal="left"/>
    </xf>
    <xf numFmtId="15" fontId="39" fillId="0" borderId="0" applyFont="0" applyFill="0" applyBorder="0" applyAlignment="0" applyProtection="0"/>
    <xf numFmtId="4" fontId="39" fillId="0" borderId="0" applyFont="0" applyFill="0" applyBorder="0" applyAlignment="0" applyProtection="0"/>
    <xf numFmtId="0" fontId="26" fillId="0" borderId="31">
      <alignment horizontal="center"/>
    </xf>
    <xf numFmtId="3" fontId="39" fillId="0" borderId="0" applyFont="0" applyFill="0" applyBorder="0" applyAlignment="0" applyProtection="0"/>
    <xf numFmtId="0" fontId="39" fillId="47" borderId="0" applyNumberFormat="0" applyFont="0" applyBorder="0" applyAlignment="0" applyProtection="0"/>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37" fontId="52" fillId="48" borderId="0"/>
    <xf numFmtId="206" fontId="210" fillId="0" borderId="0" applyNumberFormat="0" applyFill="0" applyBorder="0" applyAlignment="0" applyProtection="0"/>
    <xf numFmtId="0" fontId="211" fillId="80" borderId="0" applyNumberFormat="0" applyFont="0" applyBorder="0" applyAlignment="0">
      <alignment horizontal="center"/>
    </xf>
    <xf numFmtId="0" fontId="209" fillId="0" borderId="0" applyNumberFormat="0" applyProtection="0">
      <alignment horizontal="center" wrapText="1"/>
    </xf>
    <xf numFmtId="0" fontId="209" fillId="0" borderId="0" applyNumberFormat="0" applyProtection="0">
      <alignment horizontal="center" wrapText="1"/>
    </xf>
    <xf numFmtId="263" fontId="154" fillId="0" borderId="0" applyNumberFormat="0" applyFill="0" applyBorder="0" applyAlignment="0" applyProtection="0">
      <alignment horizontal="left"/>
    </xf>
    <xf numFmtId="0" fontId="5" fillId="0" borderId="0" applyNumberFormat="0" applyFont="0" applyFill="0" applyBorder="0">
      <alignment horizontal="right"/>
    </xf>
    <xf numFmtId="49" fontId="43" fillId="52" borderId="5" applyNumberFormat="0">
      <alignment vertical="center"/>
    </xf>
    <xf numFmtId="49" fontId="43" fillId="52" borderId="5" applyNumberFormat="0">
      <alignment vertical="center"/>
    </xf>
    <xf numFmtId="49" fontId="43" fillId="52" borderId="5" applyNumberFormat="0">
      <alignment vertical="center"/>
    </xf>
    <xf numFmtId="210" fontId="23" fillId="0" borderId="0">
      <alignment horizontal="center"/>
    </xf>
    <xf numFmtId="0" fontId="188" fillId="0" borderId="0">
      <alignment wrapText="1"/>
    </xf>
    <xf numFmtId="0" fontId="188" fillId="0" borderId="0">
      <alignment wrapText="1"/>
    </xf>
    <xf numFmtId="0" fontId="23" fillId="0" borderId="2"/>
    <xf numFmtId="0" fontId="23" fillId="0" borderId="2"/>
    <xf numFmtId="0" fontId="23" fillId="0" borderId="2"/>
    <xf numFmtId="0" fontId="23" fillId="0" borderId="2"/>
    <xf numFmtId="0" fontId="23" fillId="0" borderId="2"/>
    <xf numFmtId="0" fontId="23" fillId="0" borderId="2"/>
    <xf numFmtId="0" fontId="23" fillId="0" borderId="2"/>
    <xf numFmtId="0" fontId="23" fillId="0" borderId="2"/>
    <xf numFmtId="0" fontId="23" fillId="0" borderId="2"/>
    <xf numFmtId="0" fontId="23" fillId="0" borderId="2"/>
    <xf numFmtId="0" fontId="209" fillId="37" borderId="0">
      <alignment horizontal="center" wrapText="1"/>
    </xf>
    <xf numFmtId="0" fontId="209" fillId="37" borderId="0">
      <alignment horizontal="center" wrapText="1"/>
    </xf>
    <xf numFmtId="0" fontId="5" fillId="33" borderId="63"/>
    <xf numFmtId="0" fontId="5" fillId="33" borderId="63"/>
    <xf numFmtId="0" fontId="5" fillId="33" borderId="63"/>
    <xf numFmtId="0" fontId="5" fillId="33" borderId="63"/>
    <xf numFmtId="0" fontId="5" fillId="33" borderId="63"/>
    <xf numFmtId="0" fontId="5" fillId="33" borderId="63"/>
    <xf numFmtId="0" fontId="5" fillId="33" borderId="63"/>
    <xf numFmtId="0" fontId="5" fillId="33" borderId="63"/>
    <xf numFmtId="0" fontId="5" fillId="33" borderId="63"/>
    <xf numFmtId="0" fontId="23" fillId="81" borderId="0" applyNumberFormat="0" applyFont="0" applyBorder="0" applyAlignment="0" applyProtection="0"/>
    <xf numFmtId="0" fontId="211" fillId="1" borderId="5" applyNumberFormat="0" applyFont="0" applyAlignment="0">
      <alignment horizontal="center"/>
    </xf>
    <xf numFmtId="0" fontId="211" fillId="1" borderId="5" applyNumberFormat="0" applyFont="0" applyAlignment="0">
      <alignment horizontal="center"/>
    </xf>
    <xf numFmtId="0" fontId="211" fillId="1" borderId="5" applyNumberFormat="0" applyFont="0" applyAlignment="0">
      <alignment horizontal="center"/>
    </xf>
    <xf numFmtId="0" fontId="64" fillId="0" borderId="0"/>
    <xf numFmtId="0" fontId="5" fillId="0" borderId="0"/>
    <xf numFmtId="0" fontId="5" fillId="0" borderId="0"/>
    <xf numFmtId="0" fontId="5" fillId="0" borderId="0"/>
    <xf numFmtId="0" fontId="154" fillId="0" borderId="64"/>
    <xf numFmtId="0" fontId="212" fillId="0" borderId="0" applyNumberFormat="0" applyFill="0" applyBorder="0" applyAlignment="0">
      <alignment horizontal="center"/>
    </xf>
    <xf numFmtId="0" fontId="5" fillId="0" borderId="0" applyNumberFormat="0" applyFont="0" applyFill="0" applyBorder="0" applyAlignment="0" applyProtection="0"/>
    <xf numFmtId="270" fontId="5" fillId="0" borderId="0">
      <alignment horizontal="left"/>
    </xf>
    <xf numFmtId="0" fontId="40" fillId="0" borderId="0">
      <alignment vertical="center"/>
    </xf>
    <xf numFmtId="0" fontId="40" fillId="0" borderId="0">
      <alignment vertical="center"/>
    </xf>
    <xf numFmtId="0" fontId="35" fillId="0" borderId="0"/>
    <xf numFmtId="0" fontId="35" fillId="0" borderId="0"/>
    <xf numFmtId="0" fontId="5" fillId="0" borderId="0" applyNumberFormat="0" applyFill="0" applyBorder="0" applyAlignment="0" applyProtection="0"/>
    <xf numFmtId="0" fontId="35" fillId="0" borderId="0"/>
    <xf numFmtId="0" fontId="5" fillId="0" borderId="0" applyNumberFormat="0" applyFill="0" applyBorder="0" applyAlignment="0" applyProtection="0"/>
    <xf numFmtId="0" fontId="3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43" fillId="0" borderId="0" applyNumberFormat="0" applyFill="0" applyBorder="0" applyProtection="0">
      <alignment horizontal="left"/>
    </xf>
    <xf numFmtId="0" fontId="5" fillId="0" borderId="0" applyNumberFormat="0" applyFill="0" applyBorder="0" applyAlignment="0" applyProtection="0"/>
    <xf numFmtId="0" fontId="43" fillId="0" borderId="0" applyNumberFormat="0" applyFill="0" applyBorder="0" applyProtection="0">
      <alignment horizontal="center" wrapText="1"/>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35" fillId="0" borderId="0"/>
    <xf numFmtId="0" fontId="5" fillId="0" borderId="0" applyNumberFormat="0" applyFill="0" applyBorder="0" applyAlignment="0" applyProtection="0"/>
    <xf numFmtId="0" fontId="5" fillId="0" borderId="0" applyNumberFormat="0" applyFill="0" applyBorder="0" applyAlignment="0" applyProtection="0"/>
    <xf numFmtId="0" fontId="35" fillId="0" borderId="0"/>
    <xf numFmtId="0" fontId="35" fillId="0" borderId="0"/>
    <xf numFmtId="0" fontId="5" fillId="0" borderId="0" applyNumberFormat="0" applyFill="0" applyBorder="0" applyAlignment="0" applyProtection="0"/>
    <xf numFmtId="0" fontId="5" fillId="0" borderId="0"/>
    <xf numFmtId="0" fontId="5" fillId="0" borderId="0" applyNumberFormat="0" applyFill="0" applyBorder="0" applyAlignment="0" applyProtection="0"/>
    <xf numFmtId="0" fontId="35" fillId="0" borderId="0"/>
    <xf numFmtId="0" fontId="5" fillId="0" borderId="0" applyNumberFormat="0" applyFill="0" applyBorder="0" applyAlignment="0" applyProtection="0"/>
    <xf numFmtId="0" fontId="5" fillId="0" borderId="0" applyNumberFormat="0" applyFill="0" applyBorder="0" applyAlignment="0" applyProtection="0"/>
    <xf numFmtId="0" fontId="3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35" fillId="0" borderId="0"/>
    <xf numFmtId="0" fontId="35" fillId="0" borderId="0"/>
    <xf numFmtId="0" fontId="5" fillId="0" borderId="0"/>
    <xf numFmtId="0" fontId="5" fillId="0" borderId="0" applyNumberFormat="0" applyFill="0" applyBorder="0" applyAlignment="0" applyProtection="0"/>
    <xf numFmtId="0" fontId="35" fillId="0" borderId="0"/>
    <xf numFmtId="1" fontId="5" fillId="0" borderId="0" applyFill="0" applyBorder="0">
      <alignment horizontal="center"/>
    </xf>
    <xf numFmtId="0" fontId="46" fillId="0" borderId="0" applyNumberFormat="0" applyBorder="0" applyAlignment="0"/>
    <xf numFmtId="0" fontId="209" fillId="0" borderId="0">
      <alignment horizontal="left"/>
    </xf>
    <xf numFmtId="0" fontId="209" fillId="0" borderId="0">
      <alignment horizontal="left"/>
    </xf>
    <xf numFmtId="0" fontId="213" fillId="0" borderId="0"/>
    <xf numFmtId="241" fontId="43" fillId="0" borderId="5"/>
    <xf numFmtId="242" fontId="5" fillId="0" borderId="5"/>
    <xf numFmtId="242" fontId="5" fillId="0" borderId="5"/>
    <xf numFmtId="242" fontId="5" fillId="0" borderId="5"/>
    <xf numFmtId="242" fontId="5" fillId="0" borderId="5"/>
    <xf numFmtId="242" fontId="5" fillId="0" borderId="5"/>
    <xf numFmtId="242" fontId="5" fillId="0" borderId="5"/>
    <xf numFmtId="241" fontId="43" fillId="0" borderId="5"/>
    <xf numFmtId="241" fontId="43" fillId="0" borderId="5"/>
    <xf numFmtId="240" fontId="43" fillId="0" borderId="5" applyFill="0" applyAlignment="0" applyProtection="0">
      <alignment horizontal="left"/>
    </xf>
    <xf numFmtId="240" fontId="43" fillId="0" borderId="5" applyFill="0" applyAlignment="0" applyProtection="0">
      <alignment horizontal="left"/>
    </xf>
    <xf numFmtId="240" fontId="43" fillId="0" borderId="5" applyFill="0" applyAlignment="0" applyProtection="0">
      <alignment horizontal="left"/>
    </xf>
    <xf numFmtId="358" fontId="209" fillId="33" borderId="2"/>
    <xf numFmtId="195" fontId="5" fillId="33" borderId="2"/>
    <xf numFmtId="195" fontId="5" fillId="33" borderId="2"/>
    <xf numFmtId="195" fontId="5" fillId="33" borderId="2"/>
    <xf numFmtId="195" fontId="5" fillId="33" borderId="2"/>
    <xf numFmtId="195" fontId="5" fillId="33" borderId="2"/>
    <xf numFmtId="195" fontId="5" fillId="33" borderId="2"/>
    <xf numFmtId="195" fontId="5" fillId="33" borderId="2"/>
    <xf numFmtId="195" fontId="5" fillId="33" borderId="2"/>
    <xf numFmtId="195" fontId="5" fillId="33" borderId="2"/>
    <xf numFmtId="195" fontId="5" fillId="33" borderId="2"/>
    <xf numFmtId="358" fontId="209" fillId="33" borderId="2"/>
    <xf numFmtId="358" fontId="209" fillId="33" borderId="2"/>
    <xf numFmtId="358" fontId="209" fillId="33" borderId="2"/>
    <xf numFmtId="358" fontId="209" fillId="33" borderId="2"/>
    <xf numFmtId="0" fontId="214" fillId="0" borderId="65" applyNumberFormat="0" applyAlignment="0" applyProtection="0"/>
    <xf numFmtId="0" fontId="215" fillId="0" borderId="65" applyNumberFormat="0" applyAlignment="0" applyProtection="0">
      <alignment horizontal="left" vertical="top"/>
    </xf>
    <xf numFmtId="0" fontId="216" fillId="0" borderId="0" applyNumberFormat="0" applyProtection="0">
      <alignment horizontal="left" vertical="top"/>
    </xf>
    <xf numFmtId="0" fontId="5" fillId="0" borderId="0" applyNumberFormat="0" applyFont="0" applyAlignment="0" applyProtection="0"/>
    <xf numFmtId="0" fontId="216" fillId="0" borderId="0" applyNumberFormat="0" applyFill="0" applyBorder="0" applyProtection="0"/>
    <xf numFmtId="0" fontId="217" fillId="0" borderId="0" applyNumberFormat="0" applyFill="0" applyBorder="0" applyProtection="0">
      <alignment vertical="top"/>
    </xf>
    <xf numFmtId="0" fontId="218" fillId="0" borderId="5" applyNumberFormat="0" applyProtection="0">
      <alignment horizontal="left" vertical="top"/>
    </xf>
    <xf numFmtId="0" fontId="218" fillId="0" borderId="5" applyNumberFormat="0" applyProtection="0">
      <alignment horizontal="left" vertical="top"/>
    </xf>
    <xf numFmtId="0" fontId="218" fillId="0" borderId="5" applyNumberFormat="0" applyProtection="0">
      <alignment horizontal="left" vertical="top"/>
    </xf>
    <xf numFmtId="0" fontId="218" fillId="0" borderId="5" applyNumberFormat="0" applyProtection="0">
      <alignment horizontal="right" vertical="top"/>
    </xf>
    <xf numFmtId="0" fontId="218" fillId="0" borderId="5" applyNumberFormat="0" applyProtection="0">
      <alignment horizontal="right" vertical="top"/>
    </xf>
    <xf numFmtId="0" fontId="218" fillId="0" borderId="5" applyNumberFormat="0" applyProtection="0">
      <alignment horizontal="right" vertical="top"/>
    </xf>
    <xf numFmtId="0" fontId="215" fillId="0" borderId="0" applyNumberFormat="0" applyProtection="0">
      <alignment horizontal="left" vertical="top"/>
    </xf>
    <xf numFmtId="0" fontId="215" fillId="0" borderId="0" applyNumberFormat="0" applyProtection="0">
      <alignment horizontal="right" vertical="top"/>
    </xf>
    <xf numFmtId="0" fontId="214" fillId="0" borderId="0" applyNumberFormat="0" applyProtection="0">
      <alignment horizontal="left" vertical="top"/>
    </xf>
    <xf numFmtId="0" fontId="214" fillId="0" borderId="0" applyNumberFormat="0" applyProtection="0">
      <alignment horizontal="right" vertical="top"/>
    </xf>
    <xf numFmtId="0" fontId="5" fillId="0" borderId="66" applyNumberFormat="0" applyFont="0" applyAlignment="0" applyProtection="0"/>
    <xf numFmtId="0" fontId="5" fillId="0" borderId="57" applyNumberFormat="0" applyFont="0" applyAlignment="0" applyProtection="0"/>
    <xf numFmtId="0" fontId="5" fillId="0" borderId="67" applyNumberFormat="0" applyFont="0" applyAlignment="0" applyProtection="0"/>
    <xf numFmtId="10" fontId="219" fillId="0" borderId="0" applyNumberFormat="0" applyFill="0" applyBorder="0" applyProtection="0">
      <alignment horizontal="right" vertical="top"/>
    </xf>
    <xf numFmtId="0" fontId="215" fillId="0" borderId="5" applyNumberFormat="0" applyFill="0" applyAlignment="0" applyProtection="0"/>
    <xf numFmtId="0" fontId="215" fillId="0" borderId="5" applyNumberFormat="0" applyFill="0" applyAlignment="0" applyProtection="0"/>
    <xf numFmtId="0" fontId="215" fillId="0" borderId="5" applyNumberFormat="0" applyFill="0" applyAlignment="0" applyProtection="0"/>
    <xf numFmtId="0" fontId="214" fillId="0" borderId="39" applyNumberFormat="0" applyFont="0" applyFill="0" applyAlignment="0" applyProtection="0">
      <alignment horizontal="left" vertical="top"/>
    </xf>
    <xf numFmtId="0" fontId="214" fillId="0" borderId="39" applyNumberFormat="0" applyFont="0" applyFill="0" applyAlignment="0" applyProtection="0">
      <alignment horizontal="left" vertical="top"/>
    </xf>
    <xf numFmtId="0" fontId="214" fillId="0" borderId="39" applyNumberFormat="0" applyFont="0" applyFill="0" applyAlignment="0" applyProtection="0">
      <alignment horizontal="lef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20" fillId="0" borderId="0" applyFill="0" applyBorder="0" applyProtection="0">
      <alignment horizontal="center" vertical="center"/>
    </xf>
    <xf numFmtId="0" fontId="220" fillId="0" borderId="0" applyFill="0" applyBorder="0" applyProtection="0"/>
    <xf numFmtId="0" fontId="43" fillId="0" borderId="0" applyFill="0" applyBorder="0" applyProtection="0">
      <alignment horizontal="left"/>
    </xf>
    <xf numFmtId="0" fontId="221" fillId="0" borderId="0" applyFill="0" applyBorder="0" applyProtection="0">
      <alignment horizontal="left" vertical="top"/>
    </xf>
    <xf numFmtId="0" fontId="5" fillId="40" borderId="0" applyNumberFormat="0" applyBorder="0" applyProtection="0">
      <alignment vertical="top" wrapText="1"/>
    </xf>
    <xf numFmtId="0" fontId="5" fillId="40" borderId="0" applyNumberFormat="0" applyBorder="0" applyProtection="0">
      <alignment vertical="top" wrapText="1"/>
    </xf>
    <xf numFmtId="0" fontId="5" fillId="40" borderId="0" applyNumberFormat="0" applyBorder="0" applyProtection="0">
      <alignment vertical="top" wrapText="1"/>
    </xf>
    <xf numFmtId="49" fontId="5" fillId="82" borderId="0" applyFont="0" applyBorder="0" applyAlignment="0" applyProtection="0"/>
    <xf numFmtId="49" fontId="5" fillId="82" borderId="0" applyFont="0" applyBorder="0" applyAlignment="0" applyProtection="0"/>
    <xf numFmtId="49" fontId="5" fillId="82" borderId="0" applyFont="0" applyBorder="0" applyAlignment="0" applyProtection="0"/>
    <xf numFmtId="49" fontId="5" fillId="0" borderId="0"/>
    <xf numFmtId="49" fontId="5" fillId="0" borderId="0"/>
    <xf numFmtId="49" fontId="5" fillId="0" borderId="0"/>
    <xf numFmtId="0" fontId="5" fillId="0" borderId="0"/>
    <xf numFmtId="14" fontId="5" fillId="0" borderId="0"/>
    <xf numFmtId="168" fontId="5" fillId="0" borderId="0"/>
    <xf numFmtId="168" fontId="5" fillId="0" borderId="0"/>
    <xf numFmtId="38" fontId="222" fillId="0" borderId="0" applyNumberFormat="0" applyFill="0" applyBorder="0" applyProtection="0">
      <alignment horizontal="center"/>
    </xf>
    <xf numFmtId="0" fontId="89" fillId="0" borderId="0" applyNumberFormat="0" applyFill="0" applyBorder="0" applyAlignment="0" applyProtection="0"/>
    <xf numFmtId="0" fontId="89" fillId="0" borderId="0" applyNumberFormat="0" applyFill="0" applyBorder="0" applyAlignment="0" applyProtection="0"/>
    <xf numFmtId="0" fontId="223" fillId="0" borderId="0" applyNumberFormat="0" applyFill="0" applyBorder="0" applyAlignment="0" applyProtection="0"/>
    <xf numFmtId="0" fontId="5" fillId="0" borderId="0">
      <alignment horizontal="left"/>
    </xf>
    <xf numFmtId="0" fontId="5" fillId="0" borderId="0">
      <alignment horizontal="left"/>
    </xf>
    <xf numFmtId="0" fontId="5" fillId="0" borderId="0">
      <alignment horizontal="left"/>
    </xf>
    <xf numFmtId="0" fontId="5" fillId="0" borderId="0">
      <alignment horizontal="left"/>
    </xf>
    <xf numFmtId="0" fontId="5" fillId="0" borderId="0">
      <alignment horizontal="left"/>
    </xf>
    <xf numFmtId="0" fontId="5" fillId="0" borderId="0">
      <alignment horizontal="left"/>
    </xf>
    <xf numFmtId="0" fontId="5" fillId="0" borderId="0">
      <alignment horizontal="left"/>
    </xf>
    <xf numFmtId="37" fontId="224" fillId="0" borderId="0" applyNumberFormat="0">
      <alignment horizontal="center"/>
    </xf>
    <xf numFmtId="0" fontId="225" fillId="0" borderId="0" applyNumberFormat="0" applyFill="0" applyBorder="0" applyAlignment="0" applyProtection="0"/>
    <xf numFmtId="0" fontId="220" fillId="0" borderId="0" applyNumberFormat="0" applyFill="0" applyBorder="0" applyAlignment="0" applyProtection="0"/>
    <xf numFmtId="0" fontId="220" fillId="0" borderId="0" applyNumberFormat="0" applyFill="0" applyBorder="0" applyAlignment="0" applyProtection="0"/>
    <xf numFmtId="0" fontId="23" fillId="37" borderId="0"/>
    <xf numFmtId="337" fontId="78" fillId="0" borderId="39" applyNumberFormat="0" applyFont="0" applyFill="0" applyAlignment="0" applyProtection="0">
      <alignment horizontal="right" vertical="center"/>
    </xf>
    <xf numFmtId="337" fontId="78" fillId="0" borderId="39" applyNumberFormat="0" applyFont="0" applyFill="0" applyAlignment="0" applyProtection="0">
      <alignment horizontal="right" vertical="center"/>
    </xf>
    <xf numFmtId="337" fontId="78" fillId="0" borderId="39" applyNumberFormat="0" applyFont="0" applyFill="0" applyAlignment="0" applyProtection="0">
      <alignment horizontal="right" vertical="center"/>
    </xf>
    <xf numFmtId="0" fontId="23" fillId="0" borderId="68">
      <alignment horizontal="right"/>
    </xf>
    <xf numFmtId="292" fontId="5" fillId="0" borderId="68">
      <alignment horizontal="right"/>
    </xf>
    <xf numFmtId="292" fontId="5" fillId="0" borderId="68">
      <alignment horizontal="right"/>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52" fillId="40" borderId="0" applyNumberFormat="0" applyBorder="0" applyAlignment="0" applyProtection="0"/>
    <xf numFmtId="37" fontId="52" fillId="0" borderId="0"/>
    <xf numFmtId="37" fontId="52" fillId="0" borderId="0"/>
    <xf numFmtId="3" fontId="134" fillId="0" borderId="55" applyProtection="0"/>
    <xf numFmtId="0" fontId="23" fillId="55" borderId="0" applyNumberFormat="0" applyFont="0" applyAlignment="0">
      <alignment horizontal="right"/>
    </xf>
    <xf numFmtId="224" fontId="184" fillId="0" borderId="0" applyFont="0" applyFill="0" applyBorder="0" applyAlignment="0" applyProtection="0"/>
    <xf numFmtId="359" fontId="5" fillId="0" borderId="0" applyFont="0" applyFill="0" applyBorder="0" applyAlignment="0" applyProtection="0"/>
    <xf numFmtId="359" fontId="5" fillId="0" borderId="0" applyFont="0" applyFill="0" applyBorder="0" applyAlignment="0" applyProtection="0"/>
    <xf numFmtId="0" fontId="39" fillId="83" borderId="0" applyNumberFormat="0" applyFont="0" applyBorder="0" applyAlignment="0" applyProtection="0">
      <protection locked="0"/>
    </xf>
    <xf numFmtId="0" fontId="39" fillId="83" borderId="0" applyNumberFormat="0" applyFont="0" applyBorder="0" applyAlignment="0" applyProtection="0">
      <protection locked="0"/>
    </xf>
    <xf numFmtId="0" fontId="64" fillId="36" borderId="54" applyNumberFormat="0" applyFont="0" applyFill="0" applyBorder="0" applyProtection="0">
      <alignment horizontal="center" wrapText="1"/>
    </xf>
    <xf numFmtId="0" fontId="64" fillId="36" borderId="54" applyNumberFormat="0" applyFont="0" applyFill="0" applyBorder="0" applyProtection="0">
      <alignment horizontal="center" wrapText="1"/>
    </xf>
    <xf numFmtId="0" fontId="64" fillId="36" borderId="54" applyNumberFormat="0" applyFont="0" applyFill="0" applyBorder="0" applyProtection="0">
      <alignment horizontal="center" wrapText="1"/>
    </xf>
    <xf numFmtId="0" fontId="64" fillId="36" borderId="54" applyNumberFormat="0" applyFont="0" applyFill="0" applyBorder="0" applyProtection="0">
      <alignment horizontal="center" wrapText="1"/>
    </xf>
    <xf numFmtId="0" fontId="64" fillId="36" borderId="54" applyNumberFormat="0" applyFont="0" applyFill="0" applyBorder="0" applyProtection="0">
      <alignment horizontal="center" wrapText="1"/>
    </xf>
    <xf numFmtId="0" fontId="64" fillId="36" borderId="54" applyNumberFormat="0" applyFont="0" applyFill="0" applyBorder="0" applyProtection="0">
      <alignment horizontal="center" wrapText="1"/>
    </xf>
    <xf numFmtId="0" fontId="227" fillId="33" borderId="14" applyNumberFormat="0" applyFill="0" applyBorder="0">
      <alignment horizontal="center"/>
    </xf>
    <xf numFmtId="0" fontId="227" fillId="33" borderId="14" applyNumberFormat="0" applyFill="0" applyBorder="0">
      <alignment horizontal="center"/>
    </xf>
    <xf numFmtId="0" fontId="227" fillId="33" borderId="14" applyNumberFormat="0" applyFill="0" applyBorder="0">
      <alignment horizontal="center"/>
    </xf>
    <xf numFmtId="209" fontId="65" fillId="0" borderId="0" applyFont="0" applyFill="0" applyBorder="0" applyProtection="0">
      <alignment horizontal="right"/>
    </xf>
    <xf numFmtId="0" fontId="25" fillId="0" borderId="0"/>
    <xf numFmtId="43" fontId="67" fillId="0" borderId="0" applyFont="0" applyFill="0" applyBorder="0" applyAlignment="0" applyProtection="0"/>
    <xf numFmtId="41" fontId="67" fillId="0" borderId="0" applyFont="0" applyFill="0" applyBorder="0" applyAlignment="0" applyProtection="0"/>
    <xf numFmtId="0" fontId="196" fillId="0" borderId="0"/>
    <xf numFmtId="44" fontId="67" fillId="0" borderId="0" applyFont="0" applyFill="0" applyBorder="0" applyAlignment="0" applyProtection="0"/>
    <xf numFmtId="42" fontId="67" fillId="0" borderId="0" applyFont="0" applyFill="0" applyBorder="0" applyAlignment="0" applyProtection="0"/>
    <xf numFmtId="0" fontId="228" fillId="0" borderId="0"/>
  </cellStyleXfs>
  <cellXfs count="59">
    <xf numFmtId="0" fontId="0" fillId="0" borderId="0" xfId="0"/>
    <xf numFmtId="0" fontId="3" fillId="0" borderId="2" xfId="0" applyFont="1" applyBorder="1" applyAlignment="1">
      <alignment horizontal="left" vertical="center" wrapText="1"/>
    </xf>
    <xf numFmtId="0" fontId="3" fillId="0" borderId="2" xfId="0" applyFont="1" applyBorder="1" applyAlignment="1">
      <alignment horizontal="left"/>
    </xf>
    <xf numFmtId="0" fontId="3" fillId="0" borderId="2" xfId="0" applyFont="1" applyBorder="1" applyAlignment="1">
      <alignment horizontal="left" vertical="center"/>
    </xf>
    <xf numFmtId="0" fontId="0" fillId="0" borderId="0" xfId="0" applyAlignment="1">
      <alignment vertical="top"/>
    </xf>
    <xf numFmtId="0" fontId="0" fillId="0" borderId="2" xfId="0" applyBorder="1"/>
    <xf numFmtId="0" fontId="229" fillId="87" borderId="2" xfId="0" applyFont="1" applyFill="1" applyBorder="1" applyAlignment="1">
      <alignment horizontal="center" vertical="top"/>
    </xf>
    <xf numFmtId="0" fontId="229" fillId="87" borderId="2" xfId="0" applyFont="1" applyFill="1" applyBorder="1" applyAlignment="1">
      <alignment horizontal="center" vertical="top" wrapText="1"/>
    </xf>
    <xf numFmtId="0" fontId="2" fillId="0" borderId="0" xfId="0" applyFont="1"/>
    <xf numFmtId="0" fontId="229" fillId="88" borderId="2" xfId="0" applyFont="1" applyFill="1" applyBorder="1" applyAlignment="1">
      <alignment horizontal="center" vertical="top" wrapText="1"/>
    </xf>
    <xf numFmtId="0" fontId="229" fillId="88" borderId="2" xfId="0" applyFont="1" applyFill="1" applyBorder="1" applyAlignment="1">
      <alignment horizontal="center" vertical="top"/>
    </xf>
    <xf numFmtId="49" fontId="229" fillId="88" borderId="2" xfId="0" applyNumberFormat="1" applyFont="1" applyFill="1" applyBorder="1" applyAlignment="1">
      <alignment horizontal="center" vertical="top"/>
    </xf>
    <xf numFmtId="49" fontId="229" fillId="88" borderId="2" xfId="0" applyNumberFormat="1" applyFont="1" applyFill="1" applyBorder="1" applyAlignment="1">
      <alignment horizontal="center" vertical="top" wrapText="1"/>
    </xf>
    <xf numFmtId="0" fontId="229" fillId="84" borderId="2" xfId="0" applyFont="1" applyFill="1" applyBorder="1" applyAlignment="1">
      <alignment horizontal="center" vertical="top" wrapText="1"/>
    </xf>
    <xf numFmtId="0" fontId="229" fillId="84" borderId="26" xfId="0" applyFont="1" applyFill="1" applyBorder="1" applyAlignment="1">
      <alignment vertical="top" wrapText="1"/>
    </xf>
    <xf numFmtId="0" fontId="229" fillId="84" borderId="26" xfId="0" applyFont="1" applyFill="1" applyBorder="1" applyAlignment="1">
      <alignment vertical="top"/>
    </xf>
    <xf numFmtId="0" fontId="229" fillId="89" borderId="54" xfId="0" applyFont="1" applyFill="1" applyBorder="1" applyAlignment="1">
      <alignment vertical="top"/>
    </xf>
    <xf numFmtId="0" fontId="229" fillId="86" borderId="5" xfId="0" applyFont="1" applyFill="1" applyBorder="1" applyAlignment="1">
      <alignment horizontal="center" vertical="center" wrapText="1"/>
    </xf>
    <xf numFmtId="0" fontId="229" fillId="90" borderId="2" xfId="0" applyFont="1" applyFill="1" applyBorder="1" applyAlignment="1">
      <alignment horizontal="center" vertical="top" wrapText="1"/>
    </xf>
    <xf numFmtId="0" fontId="3" fillId="0" borderId="2" xfId="0" applyFont="1" applyBorder="1" applyAlignment="1">
      <alignment vertical="center"/>
    </xf>
    <xf numFmtId="0" fontId="229" fillId="84" borderId="2" xfId="0" applyFont="1" applyFill="1" applyBorder="1" applyAlignment="1">
      <alignment horizontal="center" vertical="top"/>
    </xf>
    <xf numFmtId="0" fontId="3" fillId="0" borderId="2" xfId="0" applyFont="1" applyBorder="1"/>
    <xf numFmtId="0" fontId="3" fillId="0" borderId="0" xfId="0" applyFont="1"/>
    <xf numFmtId="0" fontId="232" fillId="87" borderId="2" xfId="0" applyFont="1" applyFill="1" applyBorder="1" applyAlignment="1">
      <alignment horizontal="center" vertical="top" wrapText="1"/>
    </xf>
    <xf numFmtId="0" fontId="17" fillId="0" borderId="2" xfId="0" applyFont="1" applyBorder="1"/>
    <xf numFmtId="0" fontId="235" fillId="0" borderId="0" xfId="0" applyFont="1" applyAlignment="1">
      <alignment horizontal="right"/>
    </xf>
    <xf numFmtId="0" fontId="234" fillId="0" borderId="0" xfId="0" applyFont="1"/>
    <xf numFmtId="0" fontId="0" fillId="0" borderId="2" xfId="0" applyBorder="1" applyAlignment="1">
      <alignment horizontal="left" vertical="top" wrapText="1"/>
    </xf>
    <xf numFmtId="0" fontId="2" fillId="0" borderId="0" xfId="0" applyFont="1" applyAlignment="1">
      <alignment vertical="top" wrapText="1"/>
    </xf>
    <xf numFmtId="0" fontId="3" fillId="0" borderId="2" xfId="0" applyFont="1" applyBorder="1" applyAlignment="1">
      <alignment horizontal="left" vertical="top" wrapText="1"/>
    </xf>
    <xf numFmtId="0" fontId="0" fillId="0" borderId="0" xfId="0" applyAlignment="1">
      <alignment vertical="top" wrapText="1"/>
    </xf>
    <xf numFmtId="0" fontId="229" fillId="88" borderId="2" xfId="0" applyFont="1" applyFill="1" applyBorder="1" applyAlignment="1">
      <alignment horizontal="left" vertical="top" wrapText="1"/>
    </xf>
    <xf numFmtId="0" fontId="2" fillId="0" borderId="0" xfId="0" applyFont="1" applyAlignment="1">
      <alignment horizontal="left" vertical="top"/>
    </xf>
    <xf numFmtId="0" fontId="229" fillId="87" borderId="2" xfId="0" applyFont="1" applyFill="1" applyBorder="1" applyAlignment="1">
      <alignment horizontal="left" vertical="top" wrapText="1"/>
    </xf>
    <xf numFmtId="0" fontId="0" fillId="0" borderId="0" xfId="0" applyAlignment="1">
      <alignment horizontal="left" vertical="top"/>
    </xf>
    <xf numFmtId="0" fontId="234" fillId="0" borderId="0" xfId="0" applyFont="1" applyAlignment="1">
      <alignment wrapText="1"/>
    </xf>
    <xf numFmtId="0" fontId="233" fillId="0" borderId="0" xfId="0" applyFont="1"/>
    <xf numFmtId="0" fontId="229" fillId="90" borderId="2" xfId="0" applyFont="1" applyFill="1" applyBorder="1" applyAlignment="1">
      <alignment horizontal="left" vertical="top" wrapText="1"/>
    </xf>
    <xf numFmtId="0" fontId="3" fillId="0" borderId="2" xfId="0" applyFont="1" applyBorder="1" applyAlignment="1">
      <alignment vertical="center" wrapText="1"/>
    </xf>
    <xf numFmtId="0" fontId="17" fillId="0" borderId="0" xfId="0" applyFont="1"/>
    <xf numFmtId="0" fontId="0" fillId="0" borderId="15" xfId="0" applyBorder="1"/>
    <xf numFmtId="0" fontId="0" fillId="89" borderId="2" xfId="0" applyFill="1" applyBorder="1" applyAlignment="1">
      <alignment horizontal="left" vertical="top" wrapText="1"/>
    </xf>
    <xf numFmtId="0" fontId="0" fillId="0" borderId="2" xfId="0" applyBorder="1" applyAlignment="1">
      <alignment wrapText="1"/>
    </xf>
    <xf numFmtId="0" fontId="3" fillId="0" borderId="2" xfId="0" applyFont="1" applyBorder="1" applyAlignment="1">
      <alignment horizontal="left" wrapText="1"/>
    </xf>
    <xf numFmtId="0" fontId="3" fillId="91" borderId="2" xfId="0" applyFont="1" applyFill="1" applyBorder="1" applyAlignment="1">
      <alignment horizontal="left"/>
    </xf>
    <xf numFmtId="0" fontId="0" fillId="91" borderId="2" xfId="0" applyFill="1" applyBorder="1"/>
    <xf numFmtId="0" fontId="3" fillId="0" borderId="4" xfId="0" applyFont="1" applyBorder="1" applyAlignment="1">
      <alignment horizontal="center" vertical="center" wrapText="1"/>
    </xf>
    <xf numFmtId="0" fontId="3" fillId="0" borderId="69" xfId="0" applyFont="1" applyBorder="1" applyAlignment="1">
      <alignment horizontal="center" vertical="center"/>
    </xf>
    <xf numFmtId="0" fontId="231" fillId="0" borderId="0" xfId="0" applyFont="1" applyAlignment="1">
      <alignment horizontal="left" vertical="top" wrapText="1"/>
    </xf>
    <xf numFmtId="0" fontId="229" fillId="86" borderId="4" xfId="0" applyFont="1" applyFill="1" applyBorder="1" applyAlignment="1">
      <alignment horizontal="center" vertical="center" wrapText="1"/>
    </xf>
    <xf numFmtId="0" fontId="229" fillId="86" borderId="5" xfId="0" applyFont="1" applyFill="1" applyBorder="1" applyAlignment="1">
      <alignment horizontal="center" vertical="center" wrapText="1"/>
    </xf>
    <xf numFmtId="0" fontId="229" fillId="86" borderId="69" xfId="0" applyFont="1" applyFill="1" applyBorder="1" applyAlignment="1">
      <alignment horizontal="center" vertical="center" wrapText="1"/>
    </xf>
    <xf numFmtId="0" fontId="229" fillId="84" borderId="4" xfId="0" applyFont="1" applyFill="1" applyBorder="1" applyAlignment="1">
      <alignment horizontal="center" vertical="center" wrapText="1"/>
    </xf>
    <xf numFmtId="0" fontId="229" fillId="84" borderId="69" xfId="0" applyFont="1" applyFill="1" applyBorder="1" applyAlignment="1">
      <alignment horizontal="center" vertical="center" wrapText="1"/>
    </xf>
    <xf numFmtId="0" fontId="229" fillId="85" borderId="4" xfId="0" applyFont="1" applyFill="1" applyBorder="1" applyAlignment="1">
      <alignment horizontal="center" vertical="center" wrapText="1"/>
    </xf>
    <xf numFmtId="0" fontId="229" fillId="85" borderId="5" xfId="0" applyFont="1" applyFill="1" applyBorder="1" applyAlignment="1">
      <alignment horizontal="center" vertical="center" wrapText="1"/>
    </xf>
    <xf numFmtId="0" fontId="229" fillId="85" borderId="69" xfId="0" applyFont="1" applyFill="1" applyBorder="1" applyAlignment="1">
      <alignment horizontal="center" vertical="center" wrapText="1"/>
    </xf>
    <xf numFmtId="0" fontId="230" fillId="90" borderId="54" xfId="0" applyFont="1" applyFill="1" applyBorder="1" applyAlignment="1">
      <alignment horizontal="center" vertical="top" wrapText="1"/>
    </xf>
    <xf numFmtId="0" fontId="230" fillId="90" borderId="0" xfId="0" applyFont="1" applyFill="1" applyAlignment="1">
      <alignment horizontal="center" vertical="top" wrapText="1"/>
    </xf>
  </cellXfs>
  <cellStyles count="3954">
    <cellStyle name="_x0010_" xfId="48" xr:uid="{00000000-0005-0000-0000-000000000000}"/>
    <cellStyle name="-" xfId="49" xr:uid="{00000000-0005-0000-0000-000001000000}"/>
    <cellStyle name=" &amp;A_x0002_" xfId="50" xr:uid="{00000000-0005-0000-0000-000002000000}"/>
    <cellStyle name=" &amp;A_x0002_ 2" xfId="51" xr:uid="{00000000-0005-0000-0000-000003000000}"/>
    <cellStyle name=" &amp;A_x0002_ 3" xfId="52" xr:uid="{00000000-0005-0000-0000-000004000000}"/>
    <cellStyle name=" &amp;A_x0002_?^Ú_x0006_?_x0006_?cent??_x0005_?_x0004_?_x0006_?¥" xfId="53" xr:uid="{00000000-0005-0000-0000-000005000000}"/>
    <cellStyle name=" &amp;A_x0002__CIT 2008 v10 10-15-07" xfId="54" xr:uid="{00000000-0005-0000-0000-000006000000}"/>
    <cellStyle name=" 1" xfId="55" xr:uid="{00000000-0005-0000-0000-000007000000}"/>
    <cellStyle name=" 2" xfId="56" xr:uid="{00000000-0005-0000-0000-000008000000}"/>
    <cellStyle name=" 3" xfId="57" xr:uid="{00000000-0005-0000-0000-000009000000}"/>
    <cellStyle name=" 4" xfId="58" xr:uid="{00000000-0005-0000-0000-00000A000000}"/>
    <cellStyle name="_x000a__x000a_JournalTemplate=C:\COMFO\CTALK\JOURSTD.TPL_x000a__x000a_LbStateAddress=3 3 0 251 1 89 2 311_x000a__x000a_LbStateJou" xfId="59" xr:uid="{00000000-0005-0000-0000-00000B000000}"/>
    <cellStyle name="_x000a_386grabber=M" xfId="60" xr:uid="{00000000-0005-0000-0000-00000C000000}"/>
    <cellStyle name="_x000d__x000a_JournalTemplate=C:\COMFO\CTALK\JOURSTD.TPL_x000d__x000a_LbStateAddress=3 3 0 251 1 89 2 311_x000d__x000a_LbStateJou" xfId="61" xr:uid="{00000000-0005-0000-0000-00000D000000}"/>
    <cellStyle name="#??/32" xfId="62" xr:uid="{00000000-0005-0000-0000-00000E000000}"/>
    <cellStyle name="#_품셈 " xfId="63" xr:uid="{00000000-0005-0000-0000-00000F000000}"/>
    <cellStyle name="#_품셈  2" xfId="64" xr:uid="{00000000-0005-0000-0000-000010000000}"/>
    <cellStyle name="#_품셈  2 2" xfId="65" xr:uid="{00000000-0005-0000-0000-000011000000}"/>
    <cellStyle name="#_품셈  2 2 2" xfId="66" xr:uid="{00000000-0005-0000-0000-000012000000}"/>
    <cellStyle name="#_품셈  2 3" xfId="67" xr:uid="{00000000-0005-0000-0000-000013000000}"/>
    <cellStyle name="#_품셈  3" xfId="68" xr:uid="{00000000-0005-0000-0000-000014000000}"/>
    <cellStyle name="#_품셈  3 2" xfId="69" xr:uid="{00000000-0005-0000-0000-000015000000}"/>
    <cellStyle name="#_품셈  3 2 2" xfId="70" xr:uid="{00000000-0005-0000-0000-000016000000}"/>
    <cellStyle name="#_품셈  3 3" xfId="71" xr:uid="{00000000-0005-0000-0000-000017000000}"/>
    <cellStyle name="#_품셈  4" xfId="72" xr:uid="{00000000-0005-0000-0000-000018000000}"/>
    <cellStyle name="#_품셈  4 2" xfId="73" xr:uid="{00000000-0005-0000-0000-000019000000}"/>
    <cellStyle name="#_품셈  5" xfId="74" xr:uid="{00000000-0005-0000-0000-00001A000000}"/>
    <cellStyle name="#_품셈  6" xfId="75" xr:uid="{00000000-0005-0000-0000-00001B000000}"/>
    <cellStyle name="#_품셈  7" xfId="76" xr:uid="{00000000-0005-0000-0000-00001C000000}"/>
    <cellStyle name="$" xfId="77" xr:uid="{00000000-0005-0000-0000-00001D000000}"/>
    <cellStyle name="$_Balance Sheet, 2010.06.10 - from Mitesh vs.2" xfId="78" xr:uid="{00000000-0005-0000-0000-00001E000000}"/>
    <cellStyle name="$1000s (0)" xfId="79" xr:uid="{00000000-0005-0000-0000-00001F000000}"/>
    <cellStyle name="$m" xfId="80" xr:uid="{00000000-0005-0000-0000-000020000000}"/>
    <cellStyle name="$M[0]" xfId="81" xr:uid="{00000000-0005-0000-0000-000021000000}"/>
    <cellStyle name="$M[0] 2" xfId="82" xr:uid="{00000000-0005-0000-0000-000022000000}"/>
    <cellStyle name="$M[0] 3" xfId="83" xr:uid="{00000000-0005-0000-0000-000023000000}"/>
    <cellStyle name="$M[1]" xfId="84" xr:uid="{00000000-0005-0000-0000-000024000000}"/>
    <cellStyle name="$M[1] 2" xfId="85" xr:uid="{00000000-0005-0000-0000-000025000000}"/>
    <cellStyle name="$M[1] 3" xfId="86" xr:uid="{00000000-0005-0000-0000-000026000000}"/>
    <cellStyle name="$Millions" xfId="87" xr:uid="{00000000-0005-0000-0000-000027000000}"/>
    <cellStyle name="$Millions 2" xfId="88" xr:uid="{00000000-0005-0000-0000-000028000000}"/>
    <cellStyle name="$Millions 3" xfId="89" xr:uid="{00000000-0005-0000-0000-000029000000}"/>
    <cellStyle name="$MM[0]" xfId="90" xr:uid="{00000000-0005-0000-0000-00002A000000}"/>
    <cellStyle name="$MM[0] 2" xfId="91" xr:uid="{00000000-0005-0000-0000-00002B000000}"/>
    <cellStyle name="$MM[0] 3" xfId="92" xr:uid="{00000000-0005-0000-0000-00002C000000}"/>
    <cellStyle name="$MM[1]" xfId="93" xr:uid="{00000000-0005-0000-0000-00002D000000}"/>
    <cellStyle name="$MM[1] 2" xfId="94" xr:uid="{00000000-0005-0000-0000-00002E000000}"/>
    <cellStyle name="$MM[1] 3" xfId="95" xr:uid="{00000000-0005-0000-0000-00002F000000}"/>
    <cellStyle name="$Thousands" xfId="96" xr:uid="{00000000-0005-0000-0000-000030000000}"/>
    <cellStyle name="$Thousands 2" xfId="97" xr:uid="{00000000-0005-0000-0000-000031000000}"/>
    <cellStyle name="$Thousands 3" xfId="98" xr:uid="{00000000-0005-0000-0000-000032000000}"/>
    <cellStyle name="%" xfId="99" xr:uid="{00000000-0005-0000-0000-000033000000}"/>
    <cellStyle name="%_Sheet1" xfId="100" xr:uid="{00000000-0005-0000-0000-000034000000}"/>
    <cellStyle name="%_Stress" xfId="101" xr:uid="{00000000-0005-0000-0000-000035000000}"/>
    <cellStyle name="%_Summary" xfId="102" xr:uid="{00000000-0005-0000-0000-000036000000}"/>
    <cellStyle name="&amp;A_x0002_" xfId="103" xr:uid="{00000000-0005-0000-0000-000037000000}"/>
    <cellStyle name="******************************************" xfId="104" xr:uid="{00000000-0005-0000-0000-000038000000}"/>
    <cellStyle name=";;;" xfId="105" xr:uid="{00000000-0005-0000-0000-000039000000}"/>
    <cellStyle name=";;; 2" xfId="106" xr:uid="{00000000-0005-0000-0000-00003A000000}"/>
    <cellStyle name="??" xfId="107" xr:uid="{00000000-0005-0000-0000-00003B000000}"/>
    <cellStyle name="?? [0.00]_Book3" xfId="108" xr:uid="{00000000-0005-0000-0000-00003C000000}"/>
    <cellStyle name="?? [0]_VERA" xfId="109" xr:uid="{00000000-0005-0000-0000-00003D000000}"/>
    <cellStyle name="??/64" xfId="110" xr:uid="{00000000-0005-0000-0000-00003E000000}"/>
    <cellStyle name="???? [0.00]_Book3" xfId="111" xr:uid="{00000000-0005-0000-0000-00003F000000}"/>
    <cellStyle name="?????_VERA" xfId="112" xr:uid="{00000000-0005-0000-0000-000040000000}"/>
    <cellStyle name="????_Book3" xfId="113" xr:uid="{00000000-0005-0000-0000-000041000000}"/>
    <cellStyle name="??_?????" xfId="114" xr:uid="{00000000-0005-0000-0000-000042000000}"/>
    <cellStyle name="?_x0001__x0017_?°_x0001_ÿÿÿ?ÿÿÿ??" xfId="115" xr:uid="{00000000-0005-0000-0000-000043000000}"/>
    <cellStyle name="^February 1992" xfId="116" xr:uid="{00000000-0005-0000-0000-000044000000}"/>
    <cellStyle name="_%(SignOnly)" xfId="117" xr:uid="{00000000-0005-0000-0000-000045000000}"/>
    <cellStyle name="_%(SignSpaceOnly)" xfId="118" xr:uid="{00000000-0005-0000-0000-000046000000}"/>
    <cellStyle name="_~1048087" xfId="119" xr:uid="{00000000-0005-0000-0000-000047000000}"/>
    <cellStyle name="_~1134290" xfId="120" xr:uid="{00000000-0005-0000-0000-000048000000}"/>
    <cellStyle name="_~1210562" xfId="121" xr:uid="{00000000-0005-0000-0000-000049000000}"/>
    <cellStyle name="_~1636193" xfId="122" xr:uid="{00000000-0005-0000-0000-00004A000000}"/>
    <cellStyle name="_~1698327" xfId="123" xr:uid="{00000000-0005-0000-0000-00004B000000}"/>
    <cellStyle name="_~1923525" xfId="124" xr:uid="{00000000-0005-0000-0000-00004C000000}"/>
    <cellStyle name="_~2857490" xfId="125" xr:uid="{00000000-0005-0000-0000-00004D000000}"/>
    <cellStyle name="_~3036172" xfId="126" xr:uid="{00000000-0005-0000-0000-00004E000000}"/>
    <cellStyle name="_~3285060" xfId="127" xr:uid="{00000000-0005-0000-0000-00004F000000}"/>
    <cellStyle name="_~3330290" xfId="128" xr:uid="{00000000-0005-0000-0000-000050000000}"/>
    <cellStyle name="_~3330290_A" xfId="129" xr:uid="{00000000-0005-0000-0000-000051000000}"/>
    <cellStyle name="_~3330290_FY Forecast Tracker 9.25.08 v3" xfId="130" xr:uid="{00000000-0005-0000-0000-000052000000}"/>
    <cellStyle name="_~3330290_IB Fcst Variance 1-23-09" xfId="131" xr:uid="{00000000-0005-0000-0000-000053000000}"/>
    <cellStyle name="_~3330290_IB Mgmt Fcst 1-23-09" xfId="132" xr:uid="{00000000-0005-0000-0000-000054000000}"/>
    <cellStyle name="_~3330290_NI Schedule 10.24.08 v2" xfId="133" xr:uid="{00000000-0005-0000-0000-000055000000}"/>
    <cellStyle name="_~3330290_NI Schedule 11.26.08 (MGMT) v3" xfId="134" xr:uid="{00000000-0005-0000-0000-000056000000}"/>
    <cellStyle name="_~3330290_One time Itemsv3" xfId="135" xr:uid="{00000000-0005-0000-0000-000057000000}"/>
    <cellStyle name="_~3330290_Supplemental Sheets 5.20.09" xfId="136" xr:uid="{00000000-0005-0000-0000-000058000000}"/>
    <cellStyle name="_~4122341" xfId="137" xr:uid="{00000000-0005-0000-0000-000059000000}"/>
    <cellStyle name="_~4387628" xfId="138" xr:uid="{00000000-0005-0000-0000-00005A000000}"/>
    <cellStyle name="_~4433192" xfId="139" xr:uid="{00000000-0005-0000-0000-00005B000000}"/>
    <cellStyle name="_~4465316" xfId="140" xr:uid="{00000000-0005-0000-0000-00005C000000}"/>
    <cellStyle name="_~4480260" xfId="141" xr:uid="{00000000-0005-0000-0000-00005D000000}"/>
    <cellStyle name="_~5041630" xfId="142" xr:uid="{00000000-0005-0000-0000-00005E000000}"/>
    <cellStyle name="_~5254638" xfId="143" xr:uid="{00000000-0005-0000-0000-00005F000000}"/>
    <cellStyle name="_~5413264" xfId="144" xr:uid="{00000000-0005-0000-0000-000060000000}"/>
    <cellStyle name="_~5696802" xfId="145" xr:uid="{00000000-0005-0000-0000-000061000000}"/>
    <cellStyle name="_~7246660" xfId="146" xr:uid="{00000000-0005-0000-0000-000062000000}"/>
    <cellStyle name="_~7307348" xfId="147" xr:uid="{00000000-0005-0000-0000-000063000000}"/>
    <cellStyle name="_~7516164" xfId="148" xr:uid="{00000000-0005-0000-0000-000064000000}"/>
    <cellStyle name="_~7627628" xfId="149" xr:uid="{00000000-0005-0000-0000-000065000000}"/>
    <cellStyle name="_~8595353" xfId="150" xr:uid="{00000000-0005-0000-0000-000066000000}"/>
    <cellStyle name="_~9267078" xfId="151" xr:uid="{00000000-0005-0000-0000-000067000000}"/>
    <cellStyle name="_~9342525" xfId="152" xr:uid="{00000000-0005-0000-0000-000068000000}"/>
    <cellStyle name="_~9444089" xfId="153" xr:uid="{00000000-0005-0000-0000-000069000000}"/>
    <cellStyle name="_03 06 SP GLRS scorecard" xfId="154" xr:uid="{00000000-0005-0000-0000-00006A000000}"/>
    <cellStyle name="_'07 Plan Pages for Frank B Review v_4" xfId="155" xr:uid="{00000000-0005-0000-0000-00006B000000}"/>
    <cellStyle name="_'07 Plan Pages for Frank B Review v_4_Book1" xfId="156" xr:uid="{00000000-0005-0000-0000-00006C000000}"/>
    <cellStyle name="_'07 Plan Pages for Frank B Review v_4_File 1 - 2008 &amp; 2009 MYF - Board Pre-read View 7.24.08" xfId="157" xr:uid="{00000000-0005-0000-0000-00006D000000}"/>
    <cellStyle name="_'07 Plan Pages for Frank B Review v_4_Supplemental Sheets 5.20.09" xfId="158" xr:uid="{00000000-0005-0000-0000-00006E000000}"/>
    <cellStyle name="_09 NPL Walkforward" xfId="159" xr:uid="{00000000-0005-0000-0000-00006F000000}"/>
    <cellStyle name="_1 - Pizzi spread rec schedule" xfId="160" xr:uid="{00000000-0005-0000-0000-000070000000}"/>
    <cellStyle name="_1.  Revenue" xfId="161" xr:uid="{00000000-0005-0000-0000-000071000000}"/>
    <cellStyle name="_1. Follow-Ups" xfId="162" xr:uid="{00000000-0005-0000-0000-000072000000}"/>
    <cellStyle name="_1.31 Loans and Off Balance Sheet Summary" xfId="163" xr:uid="{00000000-0005-0000-0000-000073000000}"/>
    <cellStyle name="_1_New Plan Presentation Pack_IB_BS_Cap_05F(Oct10)" xfId="164" xr:uid="{00000000-0005-0000-0000-000074000000}"/>
    <cellStyle name="_11.30 Loans and Off Balance Sheet Summary (post DAC)" xfId="165" xr:uid="{00000000-0005-0000-0000-000075000000}"/>
    <cellStyle name="_18. Error Report" xfId="166" xr:uid="{00000000-0005-0000-0000-000076000000}"/>
    <cellStyle name="_1Q06 Financial update v6a" xfId="167" xr:uid="{00000000-0005-0000-0000-000077000000}"/>
    <cellStyle name="_1Q06 Financial update v6a_FY Forecast Tracker 9.25.08 v3" xfId="168" xr:uid="{00000000-0005-0000-0000-000078000000}"/>
    <cellStyle name="_1Q06 Financial update v6a_IB Fcst Variance 1-23-09" xfId="169" xr:uid="{00000000-0005-0000-0000-000079000000}"/>
    <cellStyle name="_1Q06 Financial update v6a_IB Mgmt Fcst 1-23-09" xfId="170" xr:uid="{00000000-0005-0000-0000-00007A000000}"/>
    <cellStyle name="_1Q06 Financial update v6a_NI Schedule 10.24.08 v2" xfId="171" xr:uid="{00000000-0005-0000-0000-00007B000000}"/>
    <cellStyle name="_1Q06 Financial update v6a_NI Schedule 11.26.08 (MGMT) v3" xfId="172" xr:uid="{00000000-0005-0000-0000-00007C000000}"/>
    <cellStyle name="_1Q06 Financial update v6a_One time Itemsv3" xfId="173" xr:uid="{00000000-0005-0000-0000-00007D000000}"/>
    <cellStyle name="_1Q06 Financial update v6a_Supplemental Sheets 5.20.09" xfId="174" xr:uid="{00000000-0005-0000-0000-00007E000000}"/>
    <cellStyle name="_1Q10 ERF Supplement 3-15-10 Check" xfId="175" xr:uid="{00000000-0005-0000-0000-00007F000000}"/>
    <cellStyle name="_2004 Strategic Planning &amp; Budgeting - Korea" xfId="176" xr:uid="{00000000-0005-0000-0000-000080000000}"/>
    <cellStyle name="_2005 DRAFT Initiatives" xfId="177" xr:uid="{00000000-0005-0000-0000-000081000000}"/>
    <cellStyle name="_2005 gti myf templates - complete set" xfId="178" xr:uid="{00000000-0005-0000-0000-000082000000}"/>
    <cellStyle name="_2005 gti myf templates - complete set_FY Forecast Tracker 9.25.08 v3" xfId="179" xr:uid="{00000000-0005-0000-0000-000083000000}"/>
    <cellStyle name="_2005 gti myf templates - complete set_IB Fcst Variance 1-23-09" xfId="180" xr:uid="{00000000-0005-0000-0000-000084000000}"/>
    <cellStyle name="_2005 gti myf templates - complete set_IB Mgmt Fcst 1-23-09" xfId="181" xr:uid="{00000000-0005-0000-0000-000085000000}"/>
    <cellStyle name="_2005 gti myf templates - complete set_NI Schedule 10.24.08 v2" xfId="182" xr:uid="{00000000-0005-0000-0000-000086000000}"/>
    <cellStyle name="_2005 gti myf templates - complete set_NI Schedule 11.26.08 (MGMT) v3" xfId="183" xr:uid="{00000000-0005-0000-0000-000087000000}"/>
    <cellStyle name="_2005 gti myf templates - complete set_One time Itemsv3" xfId="184" xr:uid="{00000000-0005-0000-0000-000088000000}"/>
    <cellStyle name="_2005 gti myf templates - complete set_Supplemental Sheets 5.20.09" xfId="185" xr:uid="{00000000-0005-0000-0000-000089000000}"/>
    <cellStyle name="_2005 gti myf templates - complete set_Tracker 2Q  5.12.08" xfId="186" xr:uid="{00000000-0005-0000-0000-00008A000000}"/>
    <cellStyle name="_2005 gti myf templates - complete set_Tracker 2Q  5.15.08" xfId="187" xr:uid="{00000000-0005-0000-0000-00008B000000}"/>
    <cellStyle name="_2005_PRF breakdown_Asia Credit Market" xfId="188" xr:uid="{00000000-0005-0000-0000-00008C000000}"/>
    <cellStyle name="_2005_PRF breakdown_Asia Credit Market_2005_PRF breakdown_Asia Credit Market" xfId="189" xr:uid="{00000000-0005-0000-0000-00008D000000}"/>
    <cellStyle name="_2005_PRF breakdown_Asia Credit Market_2005_PRF breakdown_Asia Credit Market_2005_PRF breakdown_Asia Credit Market" xfId="190" xr:uid="{00000000-0005-0000-0000-00008E000000}"/>
    <cellStyle name="_2005-Trend-FYF-(S588889)" xfId="191" xr:uid="{00000000-0005-0000-0000-00008F000000}"/>
    <cellStyle name="_2005-Trend-FYF-(S588889)_A" xfId="192" xr:uid="{00000000-0005-0000-0000-000090000000}"/>
    <cellStyle name="_2006 Budget - HK" xfId="193" xr:uid="{00000000-0005-0000-0000-000091000000}"/>
    <cellStyle name="_2006AsiaCapital_Analysis" xfId="194" xr:uid="{00000000-0005-0000-0000-000092000000}"/>
    <cellStyle name="_2006Pass1Package_Details" xfId="195" xr:uid="{00000000-0005-0000-0000-000093000000}"/>
    <cellStyle name="_2006Pass1Package_Details_FY Forecast Tracker 9.25.08 v3" xfId="196" xr:uid="{00000000-0005-0000-0000-000094000000}"/>
    <cellStyle name="_2006Pass1Package_Details_IB Fcst Variance 1-23-09" xfId="197" xr:uid="{00000000-0005-0000-0000-000095000000}"/>
    <cellStyle name="_2006Pass1Package_Details_IB Mgmt Fcst 1-23-09" xfId="198" xr:uid="{00000000-0005-0000-0000-000096000000}"/>
    <cellStyle name="_2006Pass1Package_Details_NI Schedule 10.24.08 v2" xfId="199" xr:uid="{00000000-0005-0000-0000-000097000000}"/>
    <cellStyle name="_2006Pass1Package_Details_NI Schedule 11.26.08 (MGMT) v3" xfId="200" xr:uid="{00000000-0005-0000-0000-000098000000}"/>
    <cellStyle name="_2006Pass1Package_Details_One time Itemsv3" xfId="201" xr:uid="{00000000-0005-0000-0000-000099000000}"/>
    <cellStyle name="_2006Pass1Package_Details_Supplemental Sheets 5.20.09" xfId="202" xr:uid="{00000000-0005-0000-0000-00009A000000}"/>
    <cellStyle name="_2006Pass1Package_Details_Tracker 2Q  5.12.08" xfId="203" xr:uid="{00000000-0005-0000-0000-00009B000000}"/>
    <cellStyle name="_2006Pass1Package_Details_Tracker 2Q  5.15.08" xfId="204" xr:uid="{00000000-0005-0000-0000-00009C000000}"/>
    <cellStyle name="_2007 Budget Scenarios v2" xfId="205" xr:uid="{00000000-0005-0000-0000-00009D000000}"/>
    <cellStyle name="_2007 Commodities PassII v10 112106" xfId="206" xr:uid="{00000000-0005-0000-0000-00009E000000}"/>
    <cellStyle name="_2007 Commodities PassII v8 112006 S&amp;G Inv" xfId="207" xr:uid="{00000000-0005-0000-0000-00009F000000}"/>
    <cellStyle name="_2007 Commodities Revised v3" xfId="208" xr:uid="{00000000-0005-0000-0000-0000A0000000}"/>
    <cellStyle name="_2007 Currency PassII V10 112006" xfId="209" xr:uid="{00000000-0005-0000-0000-0000A1000000}"/>
    <cellStyle name="_2007 Currency PassII V11 112006 S&amp;G Inv" xfId="210" xr:uid="{00000000-0005-0000-0000-0000A2000000}"/>
    <cellStyle name="_2007 Currency PassII V12 112106" xfId="211" xr:uid="{00000000-0005-0000-0000-0000A3000000}"/>
    <cellStyle name="_2007 Currency Revised v3" xfId="212" xr:uid="{00000000-0005-0000-0000-0000A4000000}"/>
    <cellStyle name="_2007 Occup Plan - 8-16-06 (SD)" xfId="213" xr:uid="{00000000-0005-0000-0000-0000A5000000}"/>
    <cellStyle name="_2007 Occup Plan - 8-16-06 (SD)_Book1" xfId="214" xr:uid="{00000000-0005-0000-0000-0000A6000000}"/>
    <cellStyle name="_2007 Occup Plan - 8-16-06 (SD)_File 1 - 2008 &amp; 2009 MYF - Board Pre-read View 7.24.08" xfId="215" xr:uid="{00000000-0005-0000-0000-0000A7000000}"/>
    <cellStyle name="_2007 Occup Plan - 8-16-06 (SD)_Supplemental Sheets 5.20.09" xfId="216" xr:uid="{00000000-0005-0000-0000-0000A8000000}"/>
    <cellStyle name="_2007 Occupancy Plan 9-20-06" xfId="217" xr:uid="{00000000-0005-0000-0000-0000A9000000}"/>
    <cellStyle name="_2007_Plan" xfId="218" xr:uid="{00000000-0005-0000-0000-0000AA000000}"/>
    <cellStyle name="_2007_Plan_Book1" xfId="219" xr:uid="{00000000-0005-0000-0000-0000AB000000}"/>
    <cellStyle name="_2007_Plan_File 1 - 2008 &amp; 2009 MYF - Board Pre-read View 7.24.08" xfId="220" xr:uid="{00000000-0005-0000-0000-0000AC000000}"/>
    <cellStyle name="_2007_Plan_Supplemental Sheets 5.20.09" xfId="221" xr:uid="{00000000-0005-0000-0000-0000AD000000}"/>
    <cellStyle name="_2007_Plan_Tracker 2Q  5.12.08" xfId="222" xr:uid="{00000000-0005-0000-0000-0000AE000000}"/>
    <cellStyle name="_2007_Plan_Tracker 2Q  5.15.08" xfId="223" xr:uid="{00000000-0005-0000-0000-0000AF000000}"/>
    <cellStyle name="_2008 Budget Templates - 8-28-07" xfId="224" xr:uid="{00000000-0005-0000-0000-0000B0000000}"/>
    <cellStyle name="_2008 Budget Templates 8-30-07" xfId="225" xr:uid="{00000000-0005-0000-0000-0000B1000000}"/>
    <cellStyle name="_2008 Budget Templates 8-30-07 Asia EM" xfId="226" xr:uid="{00000000-0005-0000-0000-0000B2000000}"/>
    <cellStyle name="_2008 HC Baseline - Energy" xfId="227" xr:uid="{00000000-0005-0000-0000-0000B3000000}"/>
    <cellStyle name="_2008 Headcount Plan" xfId="228" xr:uid="{00000000-0005-0000-0000-0000B4000000}"/>
    <cellStyle name="_2009 budget balance sheet &amp; capital v3" xfId="229" xr:uid="{00000000-0005-0000-0000-0000B5000000}"/>
    <cellStyle name="_21 Dec CM Daily" xfId="230" xr:uid="{00000000-0005-0000-0000-0000B6000000}"/>
    <cellStyle name="_21. Interentity Pop Breaks" xfId="231" xr:uid="{00000000-0005-0000-0000-0000B7000000}"/>
    <cellStyle name="_21b. Interentity RMI Supplement" xfId="232" xr:uid="{00000000-0005-0000-0000-0000B8000000}"/>
    <cellStyle name="_3. GLRS QA" xfId="233" xr:uid="{00000000-0005-0000-0000-0000B9000000}"/>
    <cellStyle name="_8.GLRS QA Securitized Products Augy05" xfId="234" xr:uid="{00000000-0005-0000-0000-0000BA000000}"/>
    <cellStyle name="_9-5Master Aug-LW-Benefit Rates Master-Revised 0825 without rejected cc" xfId="235" xr:uid="{00000000-0005-0000-0000-0000BB000000}"/>
    <cellStyle name="_Accounting and Control Template" xfId="236" xr:uid="{00000000-0005-0000-0000-0000BC000000}"/>
    <cellStyle name="_ACM S&amp;T DCM" xfId="237" xr:uid="{00000000-0005-0000-0000-0000BD000000}"/>
    <cellStyle name="_action items" xfId="238" xr:uid="{00000000-0005-0000-0000-0000BE000000}"/>
    <cellStyle name="_Adjustments" xfId="239" xr:uid="{00000000-0005-0000-0000-0000BF000000}"/>
    <cellStyle name="_Aged accounts in GLRS - Ballas and Roselli" xfId="240" xr:uid="{00000000-0005-0000-0000-0000C0000000}"/>
    <cellStyle name="_AGG1772" xfId="241" xr:uid="{00000000-0005-0000-0000-0000C1000000}"/>
    <cellStyle name="_ALL EMR MAR06 GTI Summary" xfId="242" xr:uid="{00000000-0005-0000-0000-0000C2000000}"/>
    <cellStyle name="_allocs templates - spinner samples" xfId="243" xr:uid="{00000000-0005-0000-0000-0000C3000000}"/>
    <cellStyle name="_allocs templates - spinner samples_A" xfId="244" xr:uid="{00000000-0005-0000-0000-0000C4000000}"/>
    <cellStyle name="_allocs templates - spinner samples_FY Forecast Tracker 9.25.08 v3" xfId="245" xr:uid="{00000000-0005-0000-0000-0000C5000000}"/>
    <cellStyle name="_allocs templates - spinner samples_IB Fcst Variance 1-23-09" xfId="246" xr:uid="{00000000-0005-0000-0000-0000C6000000}"/>
    <cellStyle name="_allocs templates - spinner samples_IB Mgmt Fcst 1-23-09" xfId="247" xr:uid="{00000000-0005-0000-0000-0000C7000000}"/>
    <cellStyle name="_allocs templates - spinner samples_NI Schedule 10.24.08 v2" xfId="248" xr:uid="{00000000-0005-0000-0000-0000C8000000}"/>
    <cellStyle name="_allocs templates - spinner samples_NI Schedule 11.26.08 (MGMT) v3" xfId="249" xr:uid="{00000000-0005-0000-0000-0000C9000000}"/>
    <cellStyle name="_allocs templates - spinner samples_One time Itemsv3" xfId="250" xr:uid="{00000000-0005-0000-0000-0000CA000000}"/>
    <cellStyle name="_allocs templates - spinner samples_Supplemental Sheets 5.20.09" xfId="251" xr:uid="{00000000-0005-0000-0000-0000CB000000}"/>
    <cellStyle name="_AM IC Report 20080612" xfId="252" xr:uid="{00000000-0005-0000-0000-0000CC000000}"/>
    <cellStyle name="_America Capital Structure v.11. values" xfId="253" xr:uid="{00000000-0005-0000-0000-0000CD000000}"/>
    <cellStyle name="_America Debt Schedule v 21" xfId="254" xr:uid="{00000000-0005-0000-0000-0000CE000000}"/>
    <cellStyle name="_America Debt Schedule v 21_Sheet1" xfId="255" xr:uid="{00000000-0005-0000-0000-0000CF000000}"/>
    <cellStyle name="_America Debt Schedule v 21_Stress" xfId="256" xr:uid="{00000000-0005-0000-0000-0000D0000000}"/>
    <cellStyle name="_America Market update 10.6.2008 v.2" xfId="257" xr:uid="{00000000-0005-0000-0000-0000D1000000}"/>
    <cellStyle name="_America Maturity" xfId="258" xr:uid="{00000000-0005-0000-0000-0000D2000000}"/>
    <cellStyle name="_Americas Emerging Markets Plan 08 Template v1.17" xfId="259" xr:uid="{00000000-0005-0000-0000-0000D3000000}"/>
    <cellStyle name="_Appendix B" xfId="260" xr:uid="{00000000-0005-0000-0000-0000D4000000}"/>
    <cellStyle name="_Apr08 -  HFS &amp; FV Loan Data Request" xfId="261" xr:uid="{00000000-0005-0000-0000-0000D5000000}"/>
    <cellStyle name="_Arnold 2006 Plan" xfId="262" xr:uid="{00000000-0005-0000-0000-0000D6000000}"/>
    <cellStyle name="_As of 29Jul05" xfId="263" xr:uid="{00000000-0005-0000-0000-0000D7000000}"/>
    <cellStyle name="_ASIA CMB" xfId="264" xr:uid="{00000000-0005-0000-0000-0000D8000000}"/>
    <cellStyle name="_Asia Credit Hybrids" xfId="265" xr:uid="{00000000-0005-0000-0000-0000D9000000}"/>
    <cellStyle name="_Asia Credit Hybrids V2 SR Template march 2007_revised" xfId="266" xr:uid="{00000000-0005-0000-0000-0000DA000000}"/>
    <cellStyle name="_ASIA CRedit Markets V 2" xfId="267" xr:uid="{00000000-0005-0000-0000-0000DB000000}"/>
    <cellStyle name="_ASIA Emerging Market Plan 08 Templatev1.1" xfId="268" xr:uid="{00000000-0005-0000-0000-0000DC000000}"/>
    <cellStyle name="_Asia Forecast Summary_9Dec" xfId="269" xr:uid="{00000000-0005-0000-0000-0000DD000000}"/>
    <cellStyle name="_Asia Forecast Summary_Nov18" xfId="270" xr:uid="{00000000-0005-0000-0000-0000DE000000}"/>
    <cellStyle name="_Asia FX" xfId="271" xr:uid="{00000000-0005-0000-0000-0000DF000000}"/>
    <cellStyle name="_Asia IB Mgmt Review_Feb 2006" xfId="272" xr:uid="{00000000-0005-0000-0000-0000E0000000}"/>
    <cellStyle name="_Asia Jun Data" xfId="273" xr:uid="{00000000-0005-0000-0000-0000E1000000}"/>
    <cellStyle name="_Asia Jun Data_2009 budget balance sheet &amp; capital v3" xfId="274" xr:uid="{00000000-0005-0000-0000-0000E2000000}"/>
    <cellStyle name="_Asia Jun Data_Americas Emerging Markets Plan 08 Template v1.17" xfId="275" xr:uid="{00000000-0005-0000-0000-0000E3000000}"/>
    <cellStyle name="_Asia Jun Data_Asia Credit Hybrids" xfId="276" xr:uid="{00000000-0005-0000-0000-0000E4000000}"/>
    <cellStyle name="_Asia Jun Data_Asia Credit Hybrids V2 SR Template march 2007_revised" xfId="277" xr:uid="{00000000-0005-0000-0000-0000E5000000}"/>
    <cellStyle name="_Asia Jun Data_ASIA CRedit Markets V 2" xfId="278" xr:uid="{00000000-0005-0000-0000-0000E6000000}"/>
    <cellStyle name="_Asia Jun Data_ASIAPnLRisk_05_0831" xfId="279" xr:uid="{00000000-0005-0000-0000-0000E7000000}"/>
    <cellStyle name="_Asia Jun Data_Asis credit Markets SR Template march 2007_ACM" xfId="280" xr:uid="{00000000-0005-0000-0000-0000E8000000}"/>
    <cellStyle name="_Asia Jun Data_BS" xfId="281" xr:uid="{00000000-0005-0000-0000-0000E9000000}"/>
    <cellStyle name="_Asia Jun Data_BS compliance" xfId="282" xr:uid="{00000000-0005-0000-0000-0000EA000000}"/>
    <cellStyle name="_Asia Jun Data_Credit Sales" xfId="283" xr:uid="{00000000-0005-0000-0000-0000EB000000}"/>
    <cellStyle name="_Asia Jun Data_Credit Sales_2005_PRF breakdown_Asia Credit Market" xfId="284" xr:uid="{00000000-0005-0000-0000-0000EC000000}"/>
    <cellStyle name="_Asia Jun Data_Credit Sales_21 Dec CM Daily" xfId="285" xr:uid="{00000000-0005-0000-0000-0000ED000000}"/>
    <cellStyle name="_Asia Jun Data_Credit Sales_ASIA SUMMARY-CONSOL2" xfId="286" xr:uid="{00000000-0005-0000-0000-0000EE000000}"/>
    <cellStyle name="_Asia Jun Data_Credit Sales_ASIAPnLRisk" xfId="287" xr:uid="{00000000-0005-0000-0000-0000EF000000}"/>
    <cellStyle name="_Asia Jun Data_Credit Sales_ASIAPnLRisk_06_0131B" xfId="288" xr:uid="{00000000-0005-0000-0000-0000F0000000}"/>
    <cellStyle name="_Asia Jun Data_Credit Sales_ASIAPnLRisk_NEW VERSION_PPL" xfId="289" xr:uid="{00000000-0005-0000-0000-0000F1000000}"/>
    <cellStyle name="_Asia Jun Data_Credit Sales_SUMMARY" xfId="290" xr:uid="{00000000-0005-0000-0000-0000F2000000}"/>
    <cellStyle name="_Asia Jun Data_Don-Marie 9-26-07 v6(CM)" xfId="291" xr:uid="{00000000-0005-0000-0000-0000F3000000}"/>
    <cellStyle name="_Asia Jun Data_EMEA EM BD2 Forecast V2" xfId="292" xr:uid="{00000000-0005-0000-0000-0000F4000000}"/>
    <cellStyle name="_Asia Jun Data_EMEA EM BD2 Forecast V3" xfId="293" xr:uid="{00000000-0005-0000-0000-0000F5000000}"/>
    <cellStyle name="_Asia Jun Data_ENTRY SHEET" xfId="294" xr:uid="{00000000-0005-0000-0000-0000F6000000}"/>
    <cellStyle name="_Asia Jun Data_Final Revenues Sep" xfId="295" xr:uid="{00000000-0005-0000-0000-0000F7000000}"/>
    <cellStyle name="_Asia Jun Data_GEM P&amp;L ACTUAL COB 31 August 07" xfId="296" xr:uid="{00000000-0005-0000-0000-0000F8000000}"/>
    <cellStyle name="_Asia Jun Data_HC Tracking Feb 07BIUSHI-elee" xfId="297" xr:uid="{00000000-0005-0000-0000-0000F9000000}"/>
    <cellStyle name="_Asia Jun Data_LEOU Map Jun" xfId="298" xr:uid="{00000000-0005-0000-0000-0000FA000000}"/>
    <cellStyle name="_Asia Jun Data_LEOU Map Jun_2005_PRF breakdown_Asia Credit Market" xfId="299" xr:uid="{00000000-0005-0000-0000-0000FB000000}"/>
    <cellStyle name="_Asia Jun Data_LEOU Map Jun_21 Dec CM Daily" xfId="300" xr:uid="{00000000-0005-0000-0000-0000FC000000}"/>
    <cellStyle name="_Asia Jun Data_LEOU Map Jun_ASIA SUMMARY-CONSOL2" xfId="301" xr:uid="{00000000-0005-0000-0000-0000FD000000}"/>
    <cellStyle name="_Asia Jun Data_LEOU Map Jun_ASIAPnLRisk" xfId="302" xr:uid="{00000000-0005-0000-0000-0000FE000000}"/>
    <cellStyle name="_Asia Jun Data_LEOU Map Jun_ASIAPnLRisk_06_0131B" xfId="303" xr:uid="{00000000-0005-0000-0000-0000FF000000}"/>
    <cellStyle name="_Asia Jun Data_LEOU Map Jun_ASIAPnLRisk_NEW VERSION_PPL" xfId="304" xr:uid="{00000000-0005-0000-0000-000000010000}"/>
    <cellStyle name="_Asia Jun Data_LEOU Map Jun_Credit Sales" xfId="305" xr:uid="{00000000-0005-0000-0000-000001010000}"/>
    <cellStyle name="_Asia Jun Data_LEOU Map Jun_SUMMARY" xfId="306" xr:uid="{00000000-0005-0000-0000-000002010000}"/>
    <cellStyle name="_Asia Jun Data_Summary " xfId="307" xr:uid="{00000000-0005-0000-0000-000003010000}"/>
    <cellStyle name="_Asia Jun Data_TOK Credit Hybrids SR Template June 2007_Final" xfId="308" xr:uid="{00000000-0005-0000-0000-000004010000}"/>
    <cellStyle name="_Asia Mar Data" xfId="309" xr:uid="{00000000-0005-0000-0000-000005010000}"/>
    <cellStyle name="_Asia Mar Data_2005_PRF breakdown_Asia Credit Market" xfId="310" xr:uid="{00000000-0005-0000-0000-000006010000}"/>
    <cellStyle name="_Asia Mar Data_21 Dec CM Daily" xfId="311" xr:uid="{00000000-0005-0000-0000-000007010000}"/>
    <cellStyle name="_Asia Mar Data_ASIA SUMMARY-CONSOL2" xfId="312" xr:uid="{00000000-0005-0000-0000-000008010000}"/>
    <cellStyle name="_Asia Mar Data_ASIAPnLRisk" xfId="313" xr:uid="{00000000-0005-0000-0000-000009010000}"/>
    <cellStyle name="_Asia Mar Data_ASIAPnLRisk_06_0131B" xfId="314" xr:uid="{00000000-0005-0000-0000-00000A010000}"/>
    <cellStyle name="_Asia Mar Data_ASIAPnLRisk_NEW VERSION_PPL" xfId="315" xr:uid="{00000000-0005-0000-0000-00000B010000}"/>
    <cellStyle name="_Asia Mar Data_AXJ_May05 as of BD3" xfId="316" xr:uid="{00000000-0005-0000-0000-00000C010000}"/>
    <cellStyle name="_Asia Mar Data_AXJ_May05 as of BD3_2005_PRF breakdown_Asia Credit Market" xfId="317" xr:uid="{00000000-0005-0000-0000-00000D010000}"/>
    <cellStyle name="_Asia Mar Data_AXJ_May05 as of BD3_21 Dec CM Daily" xfId="318" xr:uid="{00000000-0005-0000-0000-00000E010000}"/>
    <cellStyle name="_Asia Mar Data_AXJ_May05 as of BD3_ASIA SUMMARY-CONSOL2" xfId="319" xr:uid="{00000000-0005-0000-0000-00000F010000}"/>
    <cellStyle name="_Asia Mar Data_AXJ_May05 as of BD3_ASIAPnLRisk" xfId="320" xr:uid="{00000000-0005-0000-0000-000010010000}"/>
    <cellStyle name="_Asia Mar Data_AXJ_May05 as of BD3_ASIAPnLRisk_06_0131B" xfId="321" xr:uid="{00000000-0005-0000-0000-000011010000}"/>
    <cellStyle name="_Asia Mar Data_AXJ_May05 as of BD3_ASIAPnLRisk_NEW VERSION_PPL" xfId="322" xr:uid="{00000000-0005-0000-0000-000012010000}"/>
    <cellStyle name="_Asia Mar Data_AXJ_May05 as of BD3_Credit Sales" xfId="323" xr:uid="{00000000-0005-0000-0000-000013010000}"/>
    <cellStyle name="_Asia Mar Data_AXJ_May05 as of BD3_SUMMARY" xfId="324" xr:uid="{00000000-0005-0000-0000-000014010000}"/>
    <cellStyle name="_Asia Mar Data_Credit Sales" xfId="325" xr:uid="{00000000-0005-0000-0000-000015010000}"/>
    <cellStyle name="_Asia Mar Data_SUMMARY" xfId="326" xr:uid="{00000000-0005-0000-0000-000016010000}"/>
    <cellStyle name="_Asia Markets Flash Feb'05" xfId="327" xr:uid="{00000000-0005-0000-0000-000017010000}"/>
    <cellStyle name="_Asia May Data" xfId="328" xr:uid="{00000000-0005-0000-0000-000018010000}"/>
    <cellStyle name="_Asia May Data_2009 budget balance sheet &amp; capital v3" xfId="329" xr:uid="{00000000-0005-0000-0000-000019010000}"/>
    <cellStyle name="_Asia May Data_Americas Emerging Markets Plan 08 Template v1.17" xfId="330" xr:uid="{00000000-0005-0000-0000-00001A010000}"/>
    <cellStyle name="_Asia May Data_Asia Credit Hybrids" xfId="331" xr:uid="{00000000-0005-0000-0000-00001B010000}"/>
    <cellStyle name="_Asia May Data_Asia Credit Hybrids V2 SR Template march 2007_revised" xfId="332" xr:uid="{00000000-0005-0000-0000-00001C010000}"/>
    <cellStyle name="_Asia May Data_ASIA CRedit Markets V 2" xfId="333" xr:uid="{00000000-0005-0000-0000-00001D010000}"/>
    <cellStyle name="_Asia May Data_ASIAPnLRisk_05_0831" xfId="334" xr:uid="{00000000-0005-0000-0000-00001E010000}"/>
    <cellStyle name="_Asia May Data_Asis credit Markets SR Template march 2007_ACM" xfId="335" xr:uid="{00000000-0005-0000-0000-00001F010000}"/>
    <cellStyle name="_Asia May Data_BS" xfId="336" xr:uid="{00000000-0005-0000-0000-000020010000}"/>
    <cellStyle name="_Asia May Data_BS compliance" xfId="337" xr:uid="{00000000-0005-0000-0000-000021010000}"/>
    <cellStyle name="_Asia May Data_Credit Sales" xfId="338" xr:uid="{00000000-0005-0000-0000-000022010000}"/>
    <cellStyle name="_Asia May Data_Credit Sales_2005_PRF breakdown_Asia Credit Market" xfId="339" xr:uid="{00000000-0005-0000-0000-000023010000}"/>
    <cellStyle name="_Asia May Data_Credit Sales_21 Dec CM Daily" xfId="340" xr:uid="{00000000-0005-0000-0000-000024010000}"/>
    <cellStyle name="_Asia May Data_Credit Sales_ASIA SUMMARY-CONSOL2" xfId="341" xr:uid="{00000000-0005-0000-0000-000025010000}"/>
    <cellStyle name="_Asia May Data_Credit Sales_ASIAPnLRisk" xfId="342" xr:uid="{00000000-0005-0000-0000-000026010000}"/>
    <cellStyle name="_Asia May Data_Credit Sales_ASIAPnLRisk_06_0131B" xfId="343" xr:uid="{00000000-0005-0000-0000-000027010000}"/>
    <cellStyle name="_Asia May Data_Credit Sales_ASIAPnLRisk_NEW VERSION_PPL" xfId="344" xr:uid="{00000000-0005-0000-0000-000028010000}"/>
    <cellStyle name="_Asia May Data_Credit Sales_SUMMARY" xfId="345" xr:uid="{00000000-0005-0000-0000-000029010000}"/>
    <cellStyle name="_Asia May Data_Don-Marie 9-26-07 v6(CM)" xfId="346" xr:uid="{00000000-0005-0000-0000-00002A010000}"/>
    <cellStyle name="_Asia May Data_EMEA EM BD2 Forecast V2" xfId="347" xr:uid="{00000000-0005-0000-0000-00002B010000}"/>
    <cellStyle name="_Asia May Data_EMEA EM BD2 Forecast V3" xfId="348" xr:uid="{00000000-0005-0000-0000-00002C010000}"/>
    <cellStyle name="_Asia May Data_ENTRY SHEET" xfId="349" xr:uid="{00000000-0005-0000-0000-00002D010000}"/>
    <cellStyle name="_Asia May Data_Final Revenues Sep" xfId="350" xr:uid="{00000000-0005-0000-0000-00002E010000}"/>
    <cellStyle name="_Asia May Data_GEM P&amp;L ACTUAL COB 31 August 07" xfId="351" xr:uid="{00000000-0005-0000-0000-00002F010000}"/>
    <cellStyle name="_Asia May Data_HC Tracking Feb 07BIUSHI-elee" xfId="352" xr:uid="{00000000-0005-0000-0000-000030010000}"/>
    <cellStyle name="_Asia May Data_LEOU Map Jun" xfId="353" xr:uid="{00000000-0005-0000-0000-000031010000}"/>
    <cellStyle name="_Asia May Data_LEOU Map Jun_2005_PRF breakdown_Asia Credit Market" xfId="354" xr:uid="{00000000-0005-0000-0000-000032010000}"/>
    <cellStyle name="_Asia May Data_LEOU Map Jun_21 Dec CM Daily" xfId="355" xr:uid="{00000000-0005-0000-0000-000033010000}"/>
    <cellStyle name="_Asia May Data_LEOU Map Jun_ASIA SUMMARY-CONSOL2" xfId="356" xr:uid="{00000000-0005-0000-0000-000034010000}"/>
    <cellStyle name="_Asia May Data_LEOU Map Jun_ASIAPnLRisk" xfId="357" xr:uid="{00000000-0005-0000-0000-000035010000}"/>
    <cellStyle name="_Asia May Data_LEOU Map Jun_ASIAPnLRisk_06_0131B" xfId="358" xr:uid="{00000000-0005-0000-0000-000036010000}"/>
    <cellStyle name="_Asia May Data_LEOU Map Jun_ASIAPnLRisk_NEW VERSION_PPL" xfId="359" xr:uid="{00000000-0005-0000-0000-000037010000}"/>
    <cellStyle name="_Asia May Data_LEOU Map Jun_Credit Sales" xfId="360" xr:uid="{00000000-0005-0000-0000-000038010000}"/>
    <cellStyle name="_Asia May Data_LEOU Map Jun_SUMMARY" xfId="361" xr:uid="{00000000-0005-0000-0000-000039010000}"/>
    <cellStyle name="_Asia May Data_Summary " xfId="362" xr:uid="{00000000-0005-0000-0000-00003A010000}"/>
    <cellStyle name="_Asia May Data_TOK Credit Hybrids SR Template June 2007_Final" xfId="363" xr:uid="{00000000-0005-0000-0000-00003B010000}"/>
    <cellStyle name="_Asia Oct Data" xfId="364" xr:uid="{00000000-0005-0000-0000-00003C010000}"/>
    <cellStyle name="_Asia Oct Data_Asia Credit Hybrids" xfId="365" xr:uid="{00000000-0005-0000-0000-00003D010000}"/>
    <cellStyle name="_Asia Oct Data_Asia Credit Hybrids V2 SR Template march 2007_revised" xfId="366" xr:uid="{00000000-0005-0000-0000-00003E010000}"/>
    <cellStyle name="_Asia Oct Data_ASIA CRedit Markets V 2" xfId="367" xr:uid="{00000000-0005-0000-0000-00003F010000}"/>
    <cellStyle name="_Asia Oct Data_Asis credit Markets SR Template march 2007_ACM" xfId="368" xr:uid="{00000000-0005-0000-0000-000040010000}"/>
    <cellStyle name="_Asia Oct Data_Credit Sales" xfId="369" xr:uid="{00000000-0005-0000-0000-000041010000}"/>
    <cellStyle name="_Asia Oct Data_Restricted_PPL_28Jun" xfId="370" xr:uid="{00000000-0005-0000-0000-000042010000}"/>
    <cellStyle name="_Asia Oct Data_Restricted_PrdRpt_12 Jun" xfId="371" xr:uid="{00000000-0005-0000-0000-000043010000}"/>
    <cellStyle name="_Asia Oct Data_Sheet1" xfId="372" xr:uid="{00000000-0005-0000-0000-000044010000}"/>
    <cellStyle name="_Asia Oct Data_TOK Credit Hybrids SR Template June 2007_Final" xfId="373" xr:uid="{00000000-0005-0000-0000-000045010000}"/>
    <cellStyle name="_Asia Rates" xfId="374" xr:uid="{00000000-0005-0000-0000-000046010000}"/>
    <cellStyle name="_ASIA SUMMARY-CONSOL2" xfId="375" xr:uid="{00000000-0005-0000-0000-000047010000}"/>
    <cellStyle name="_ASIA-Equities Shares to NY" xfId="376" xr:uid="{00000000-0005-0000-0000-000048010000}"/>
    <cellStyle name="_AsiaIB_CLIENT_Jul_05" xfId="377" xr:uid="{00000000-0005-0000-0000-000049010000}"/>
    <cellStyle name="_ASIAPnLRisk" xfId="378" xr:uid="{00000000-0005-0000-0000-00004A010000}"/>
    <cellStyle name="_ASIAPnLRisk_05_0228C" xfId="379" xr:uid="{00000000-0005-0000-0000-00004B010000}"/>
    <cellStyle name="_ASIAPnLRisk_05_0829" xfId="380" xr:uid="{00000000-0005-0000-0000-00004C010000}"/>
    <cellStyle name="_ASIAPnLRisk_05_0831" xfId="381" xr:uid="{00000000-0005-0000-0000-00004D010000}"/>
    <cellStyle name="_ASIAPnLRisk_05_1230F" xfId="382" xr:uid="{00000000-0005-0000-0000-00004E010000}"/>
    <cellStyle name="_ASIAPnLRisk_06_0131B" xfId="383" xr:uid="{00000000-0005-0000-0000-00004F010000}"/>
    <cellStyle name="_ASIAPnLRisk_06_0405" xfId="384" xr:uid="{00000000-0005-0000-0000-000050010000}"/>
    <cellStyle name="_ASIAPnLRisk_NEW VERSION_PPL" xfId="385" xr:uid="{00000000-0005-0000-0000-000051010000}"/>
    <cellStyle name="_AsiaQ1Review-Dimon 503_Formatted" xfId="386" xr:uid="{00000000-0005-0000-0000-000052010000}"/>
    <cellStyle name="_Asis credit Markets SR Template march 2007_ACM" xfId="387" xr:uid="{00000000-0005-0000-0000-000053010000}"/>
    <cellStyle name="_Aspen Financial Update 3-8-07" xfId="388" xr:uid="{00000000-0005-0000-0000-000054010000}"/>
    <cellStyle name="_Average IB Loans - 2007 thru Nov 30" xfId="389" xr:uid="{00000000-0005-0000-0000-000055010000}"/>
    <cellStyle name="_AWM - DN" xfId="390" xr:uid="{00000000-0005-0000-0000-000056010000}"/>
    <cellStyle name="_AXJ IBC M&amp;A" xfId="391" xr:uid="{00000000-0005-0000-0000-000057010000}"/>
    <cellStyle name="_AXJ_May05 as of BD3" xfId="392" xr:uid="{00000000-0005-0000-0000-000058010000}"/>
    <cellStyle name="_AXJ_May05 as of BD3_2005_PRF breakdown_Asia Credit Market" xfId="393" xr:uid="{00000000-0005-0000-0000-000059010000}"/>
    <cellStyle name="_AXJ_May05 as of BD3_21 Dec CM Daily" xfId="394" xr:uid="{00000000-0005-0000-0000-00005A010000}"/>
    <cellStyle name="_AXJ_May05 as of BD3_ASIA SUMMARY-CONSOL2" xfId="395" xr:uid="{00000000-0005-0000-0000-00005B010000}"/>
    <cellStyle name="_AXJ_May05 as of BD3_ASIAPnLRisk" xfId="396" xr:uid="{00000000-0005-0000-0000-00005C010000}"/>
    <cellStyle name="_AXJ_May05 as of BD3_ASIAPnLRisk_06_0131B" xfId="397" xr:uid="{00000000-0005-0000-0000-00005D010000}"/>
    <cellStyle name="_AXJ_May05 as of BD3_ASIAPnLRisk_NEW VERSION_PPL" xfId="398" xr:uid="{00000000-0005-0000-0000-00005E010000}"/>
    <cellStyle name="_AXJ_May05 as of BD3_Credit Sales" xfId="399" xr:uid="{00000000-0005-0000-0000-00005F010000}"/>
    <cellStyle name="_AXJ_May05 as of BD3_SUMMARY" xfId="400" xr:uid="{00000000-0005-0000-0000-000060010000}"/>
    <cellStyle name="_Balance Sheet and RWA" xfId="401" xr:uid="{00000000-0005-0000-0000-000061010000}"/>
    <cellStyle name="_Basel I &amp; II RWA Forecast - 02-12 v1" xfId="402" xr:uid="{00000000-0005-0000-0000-000062010000}"/>
    <cellStyle name="_BD1" xfId="403" xr:uid="{00000000-0005-0000-0000-000063010000}"/>
    <cellStyle name="_BD9_O&amp;R_Template_Submissions" xfId="404" xr:uid="{00000000-0005-0000-0000-000064010000}"/>
    <cellStyle name="_BD9_O&amp;R_Template_Submissions_FY Forecast Tracker 9.25.08 v3" xfId="405" xr:uid="{00000000-0005-0000-0000-000065010000}"/>
    <cellStyle name="_BD9_O&amp;R_Template_Submissions_IB Fcst Variance 1-23-09" xfId="406" xr:uid="{00000000-0005-0000-0000-000066010000}"/>
    <cellStyle name="_BD9_O&amp;R_Template_Submissions_IB Mgmt Fcst 1-23-09" xfId="407" xr:uid="{00000000-0005-0000-0000-000067010000}"/>
    <cellStyle name="_BD9_O&amp;R_Template_Submissions_NI Schedule 10.24.08 v2" xfId="408" xr:uid="{00000000-0005-0000-0000-000068010000}"/>
    <cellStyle name="_BD9_O&amp;R_Template_Submissions_NI Schedule 11.26.08 (MGMT) v3" xfId="409" xr:uid="{00000000-0005-0000-0000-000069010000}"/>
    <cellStyle name="_BD9_O&amp;R_Template_Submissions_One time Itemsv3" xfId="410" xr:uid="{00000000-0005-0000-0000-00006A010000}"/>
    <cellStyle name="_BD9_O&amp;R_Template_Submissions_Supplemental Sheets 5.20.09" xfId="411" xr:uid="{00000000-0005-0000-0000-00006B010000}"/>
    <cellStyle name="_BD9_O&amp;R_Template_Submissions_Tracker 2Q  5.12.08" xfId="412" xr:uid="{00000000-0005-0000-0000-00006C010000}"/>
    <cellStyle name="_BD9_O&amp;R_Template_Submissions_Tracker 2Q  5.15.08" xfId="413" xr:uid="{00000000-0005-0000-0000-00006D010000}"/>
    <cellStyle name="_Bond Book - 9.30.2008" xfId="414" xr:uid="{00000000-0005-0000-0000-00006E010000}"/>
    <cellStyle name="_Book1" xfId="415" xr:uid="{00000000-0005-0000-0000-00006F010000}"/>
    <cellStyle name="_Book4" xfId="416" xr:uid="{00000000-0005-0000-0000-000070010000}"/>
    <cellStyle name="_Breakdown SAA" xfId="417" xr:uid="{00000000-0005-0000-0000-000071010000}"/>
    <cellStyle name="_Breakdown SAA_A" xfId="418" xr:uid="{00000000-0005-0000-0000-000072010000}"/>
    <cellStyle name="_BS" xfId="419" xr:uid="{00000000-0005-0000-0000-000073010000}"/>
    <cellStyle name="_BS 2" xfId="420" xr:uid="{00000000-0005-0000-0000-000074010000}"/>
    <cellStyle name="_BS 2_A" xfId="421" xr:uid="{00000000-0005-0000-0000-000075010000}"/>
    <cellStyle name="_BS compliance" xfId="422" xr:uid="{00000000-0005-0000-0000-000076010000}"/>
    <cellStyle name="_Cancun Budget Presentation PPT Excel Sheets" xfId="423" xr:uid="{00000000-0005-0000-0000-000077010000}"/>
    <cellStyle name="_Capital NII &amp; Brok" xfId="424" xr:uid="{00000000-0005-0000-0000-000078010000}"/>
    <cellStyle name="_Capital Ratio Detail page" xfId="425" xr:uid="{00000000-0005-0000-0000-000079010000}"/>
    <cellStyle name="_Cash CDO &amp; AI" xfId="426" xr:uid="{00000000-0005-0000-0000-00007A010000}"/>
    <cellStyle name="_Cash CDO &amp; AI_2005_PRF breakdown_Asia Credit Market" xfId="427" xr:uid="{00000000-0005-0000-0000-00007B010000}"/>
    <cellStyle name="_Cash CDO &amp; AI_21 Dec CM Daily" xfId="428" xr:uid="{00000000-0005-0000-0000-00007C010000}"/>
    <cellStyle name="_Cash CDO &amp; AI_ASIA SUMMARY-CONSOL2" xfId="429" xr:uid="{00000000-0005-0000-0000-00007D010000}"/>
    <cellStyle name="_Cash CDO &amp; AI_ASIAPnLRisk" xfId="430" xr:uid="{00000000-0005-0000-0000-00007E010000}"/>
    <cellStyle name="_Cash CDO &amp; AI_ASIAPnLRisk_06_0131B" xfId="431" xr:uid="{00000000-0005-0000-0000-00007F010000}"/>
    <cellStyle name="_Cash CDO &amp; AI_ASIAPnLRisk_NEW VERSION_PPL" xfId="432" xr:uid="{00000000-0005-0000-0000-000080010000}"/>
    <cellStyle name="_Cash CDO &amp; AI_Credit Sales" xfId="433" xr:uid="{00000000-0005-0000-0000-000081010000}"/>
    <cellStyle name="_Cash CDO &amp; AI_Data" xfId="434" xr:uid="{00000000-0005-0000-0000-000082010000}"/>
    <cellStyle name="_Cash CDO &amp; AI_SUMMARY" xfId="435" xr:uid="{00000000-0005-0000-0000-000083010000}"/>
    <cellStyle name="_Cashflow Projection for Ares ELIS_Request to JPMorgan Chase 2004-0802" xfId="436" xr:uid="{00000000-0005-0000-0000-000084010000}"/>
    <cellStyle name="_Cashflows" xfId="437" xr:uid="{00000000-0005-0000-0000-000085010000}"/>
    <cellStyle name="_Cashflows_A" xfId="438" xr:uid="{00000000-0005-0000-0000-000086010000}"/>
    <cellStyle name="_China" xfId="439" xr:uid="{00000000-0005-0000-0000-000087010000}"/>
    <cellStyle name="_Chrysler v.2" xfId="440" xr:uid="{00000000-0005-0000-0000-000088010000}"/>
    <cellStyle name="_CIO Entry" xfId="441" xr:uid="{00000000-0005-0000-0000-000089010000}"/>
    <cellStyle name="_CIO Mgmt" xfId="442" xr:uid="{00000000-0005-0000-0000-00008A010000}"/>
    <cellStyle name="_Comma" xfId="443" xr:uid="{00000000-0005-0000-0000-00008B010000}"/>
    <cellStyle name="_Comma_~1134290" xfId="444" xr:uid="{00000000-0005-0000-0000-00008C010000}"/>
    <cellStyle name="_Comma_~3036172" xfId="445" xr:uid="{00000000-0005-0000-0000-00008D010000}"/>
    <cellStyle name="_Comma_~7516164" xfId="446" xr:uid="{00000000-0005-0000-0000-00008E010000}"/>
    <cellStyle name="_Comma_~9342525" xfId="447" xr:uid="{00000000-0005-0000-0000-00008F010000}"/>
    <cellStyle name="_Comma_1 - Pizzi spread rec schedule" xfId="448" xr:uid="{00000000-0005-0000-0000-000090010000}"/>
    <cellStyle name="_Comma_2007 Budget Scenarios v2" xfId="449" xr:uid="{00000000-0005-0000-0000-000091010000}"/>
    <cellStyle name="_Comma_2008 Headcount Plan" xfId="450" xr:uid="{00000000-0005-0000-0000-000092010000}"/>
    <cellStyle name="_Comma_Appendix B" xfId="451" xr:uid="{00000000-0005-0000-0000-000093010000}"/>
    <cellStyle name="_Comma_Aspen Financial Update 3-8-07" xfId="452" xr:uid="{00000000-0005-0000-0000-000094010000}"/>
    <cellStyle name="_Comma_AutoPrice2000" xfId="453" xr:uid="{00000000-0005-0000-0000-000095010000}"/>
    <cellStyle name="_Comma_Book1" xfId="454" xr:uid="{00000000-0005-0000-0000-000096010000}"/>
    <cellStyle name="_Comma_Book4" xfId="455" xr:uid="{00000000-0005-0000-0000-000097010000}"/>
    <cellStyle name="_Comma_Cancun Budget Presentation PPT Excel Sheets" xfId="456" xr:uid="{00000000-0005-0000-0000-000098010000}"/>
    <cellStyle name="_Comma_Company Operating Model v24" xfId="457" xr:uid="{00000000-0005-0000-0000-000099010000}"/>
    <cellStyle name="_Comma_Covenant compliance 11-18-07 v3" xfId="458" xr:uid="{00000000-0005-0000-0000-00009A010000}"/>
    <cellStyle name="_Comma_Covenant compliance 11-19-07 v2" xfId="459" xr:uid="{00000000-0005-0000-0000-00009B010000}"/>
    <cellStyle name="_Comma_Earth holco capital structure" xfId="460" xr:uid="{00000000-0005-0000-0000-00009C010000}"/>
    <cellStyle name="_Comma_Enterprise V10.1 budget input" xfId="461" xr:uid="{00000000-0005-0000-0000-00009D010000}"/>
    <cellStyle name="_Comma_Latest Exposure Data" xfId="462" xr:uid="{00000000-0005-0000-0000-00009E010000}"/>
    <cellStyle name="_Comma_Natural Account vs AMTD v2" xfId="463" xr:uid="{00000000-0005-0000-0000-00009F010000}"/>
    <cellStyle name="_Comma_Q107 Company Estimate 3-29-07" xfId="464" xr:uid="{00000000-0005-0000-0000-0000A0010000}"/>
    <cellStyle name="_Comma_Q107 Company Estimate 3-8-07" xfId="465" xr:uid="{00000000-0005-0000-0000-0000A1010000}"/>
    <cellStyle name="_Comma_Q207 Forecast" xfId="466" xr:uid="{00000000-0005-0000-0000-0000A2010000}"/>
    <cellStyle name="_Comma_Q407 Consolidating Estimate" xfId="467" xr:uid="{00000000-0005-0000-0000-0000A3010000}"/>
    <cellStyle name="_Comma_Segment" xfId="468" xr:uid="{00000000-0005-0000-0000-0000A4010000}"/>
    <cellStyle name="_Comma_Spread Walk NEW_Budget ENT" xfId="469" xr:uid="{00000000-0005-0000-0000-0000A5010000}"/>
    <cellStyle name="_Comma_Valuation Materials_v6" xfId="470" xr:uid="{00000000-0005-0000-0000-0000A6010000}"/>
    <cellStyle name="_Commentary" xfId="471" xr:uid="{00000000-0005-0000-0000-0000A7010000}"/>
    <cellStyle name="_Company Operating Model v24" xfId="472" xr:uid="{00000000-0005-0000-0000-0000A8010000}"/>
    <cellStyle name="_comparison Apr 07" xfId="473" xr:uid="{00000000-0005-0000-0000-0000A9010000}"/>
    <cellStyle name="_Consol PL Summary" xfId="474" xr:uid="{00000000-0005-0000-0000-0000AA010000}"/>
    <cellStyle name="_Consol PL Summary 26 May" xfId="475" xr:uid="{00000000-0005-0000-0000-0000AB010000}"/>
    <cellStyle name="_Consol PL Summary-Dec(Jan10)" xfId="476" xr:uid="{00000000-0005-0000-0000-0000AC010000}"/>
    <cellStyle name="_Consol prod and clients" xfId="477" xr:uid="{00000000-0005-0000-0000-0000AD010000}"/>
    <cellStyle name="_Copy of Project America Cash flows v59 xls SLF v 8 (2)" xfId="478" xr:uid="{00000000-0005-0000-0000-0000AE010000}"/>
    <cellStyle name="_Corp IC Page for Q1 Outlook v2" xfId="479" xr:uid="{00000000-0005-0000-0000-0000AF010000}"/>
    <cellStyle name="_Corp List - Oct 04" xfId="480" xr:uid="{00000000-0005-0000-0000-0000B0010000}"/>
    <cellStyle name="_Corp List - Oct 04_2009 budget balance sheet &amp; capital v3" xfId="481" xr:uid="{00000000-0005-0000-0000-0000B1010000}"/>
    <cellStyle name="_Corp List - Oct 04_Americas Emerging Markets Plan 08 Template v1.17" xfId="482" xr:uid="{00000000-0005-0000-0000-0000B2010000}"/>
    <cellStyle name="_Corp List - Oct 04_ASIAPnLRisk_05_0831" xfId="483" xr:uid="{00000000-0005-0000-0000-0000B3010000}"/>
    <cellStyle name="_Corp List - Oct 04_ASIAPnLRisk_05_1230F" xfId="484" xr:uid="{00000000-0005-0000-0000-0000B4010000}"/>
    <cellStyle name="_Corp List - Oct 04_ASIAPnLRisk_06_0405" xfId="485" xr:uid="{00000000-0005-0000-0000-0000B5010000}"/>
    <cellStyle name="_Corp List - Oct 04_BS" xfId="486" xr:uid="{00000000-0005-0000-0000-0000B6010000}"/>
    <cellStyle name="_Corp List - Oct 04_BS compliance" xfId="487" xr:uid="{00000000-0005-0000-0000-0000B7010000}"/>
    <cellStyle name="_Corp List - Oct 04_Credit Sales" xfId="488" xr:uid="{00000000-0005-0000-0000-0000B8010000}"/>
    <cellStyle name="_Corp List - Oct 04_Don-Marie 9-26-07 v6(CM)" xfId="489" xr:uid="{00000000-0005-0000-0000-0000B9010000}"/>
    <cellStyle name="_Corp List - Oct 04_Edsparr's historical" xfId="490" xr:uid="{00000000-0005-0000-0000-0000BA010000}"/>
    <cellStyle name="_Corp List - Oct 04_EMEA EM BD2 Forecast V2" xfId="491" xr:uid="{00000000-0005-0000-0000-0000BB010000}"/>
    <cellStyle name="_Corp List - Oct 04_EMEA EM BD2 Forecast V3" xfId="492" xr:uid="{00000000-0005-0000-0000-0000BC010000}"/>
    <cellStyle name="_Corp List - Oct 04_ENTRY SHEET" xfId="493" xr:uid="{00000000-0005-0000-0000-0000BD010000}"/>
    <cellStyle name="_Corp List - Oct 04_GEM P&amp;L ACTUAL COB 31 August 07" xfId="494" xr:uid="{00000000-0005-0000-0000-0000BE010000}"/>
    <cellStyle name="_Corp List - Oct 04_HC Tracking Feb 07BIUSHI-elee" xfId="495" xr:uid="{00000000-0005-0000-0000-0000BF010000}"/>
    <cellStyle name="_Corp List - Oct 04_MTM Figures" xfId="496" xr:uid="{00000000-0005-0000-0000-0000C0010000}"/>
    <cellStyle name="_Corp List - Oct 04_PnL_Split_Apr06" xfId="497" xr:uid="{00000000-0005-0000-0000-0000C1010000}"/>
    <cellStyle name="_Corp List - Oct 04_PnL_Split_Jan19" xfId="498" xr:uid="{00000000-0005-0000-0000-0000C2010000}"/>
    <cellStyle name="_Corp List - Oct 04_PnL_Split_Jun 02" xfId="499" xr:uid="{00000000-0005-0000-0000-0000C3010000}"/>
    <cellStyle name="_Corp List - Oct 04_PnL_Split_Jun 30_Final" xfId="500" xr:uid="{00000000-0005-0000-0000-0000C4010000}"/>
    <cellStyle name="_Corp List - Oct 04_PnL_Split_Mar06 - v2" xfId="501" xr:uid="{00000000-0005-0000-0000-0000C5010000}"/>
    <cellStyle name="_Corp List - Oct 04_PnL_Split_Mar15 - v2" xfId="502" xr:uid="{00000000-0005-0000-0000-0000C6010000}"/>
    <cellStyle name="_Corp List - Oct 04_PnL_Split_Mar16 - v2" xfId="503" xr:uid="{00000000-0005-0000-0000-0000C7010000}"/>
    <cellStyle name="_Corp List - Oct 04_PnL_Split_May16" xfId="504" xr:uid="{00000000-0005-0000-0000-0000C8010000}"/>
    <cellStyle name="_Corp List - Oct 04_PnL_Split_May24" xfId="505" xr:uid="{00000000-0005-0000-0000-0000C9010000}"/>
    <cellStyle name="_Corp List - Oct 04_PnL_Split_May26" xfId="506" xr:uid="{00000000-0005-0000-0000-0000CA010000}"/>
    <cellStyle name="_Corp List - Oct 04_PnL_Split_May30" xfId="507" xr:uid="{00000000-0005-0000-0000-0000CB010000}"/>
    <cellStyle name="_Corp List - Oct 04_Restricted_PPL_28Jun" xfId="508" xr:uid="{00000000-0005-0000-0000-0000CC010000}"/>
    <cellStyle name="_Corp List - Oct 04_Sheet1" xfId="509" xr:uid="{00000000-0005-0000-0000-0000CD010000}"/>
    <cellStyle name="_Corp List - Oct 04_Summary " xfId="510" xr:uid="{00000000-0005-0000-0000-0000CE010000}"/>
    <cellStyle name="_Corp List - Sep 04" xfId="511" xr:uid="{00000000-0005-0000-0000-0000CF010000}"/>
    <cellStyle name="_Corp List - Sep 04_2009 budget balance sheet &amp; capital v3" xfId="512" xr:uid="{00000000-0005-0000-0000-0000D0010000}"/>
    <cellStyle name="_Corp List - Sep 04_Americas Emerging Markets Plan 08 Template v1.17" xfId="513" xr:uid="{00000000-0005-0000-0000-0000D1010000}"/>
    <cellStyle name="_Corp List - Sep 04_ASIAPnLRisk_05_0831" xfId="514" xr:uid="{00000000-0005-0000-0000-0000D2010000}"/>
    <cellStyle name="_Corp List - Sep 04_ASIAPnLRisk_05_1230F" xfId="515" xr:uid="{00000000-0005-0000-0000-0000D3010000}"/>
    <cellStyle name="_Corp List - Sep 04_ASIAPnLRisk_06_0405" xfId="516" xr:uid="{00000000-0005-0000-0000-0000D4010000}"/>
    <cellStyle name="_Corp List - Sep 04_BS" xfId="517" xr:uid="{00000000-0005-0000-0000-0000D5010000}"/>
    <cellStyle name="_Corp List - Sep 04_BS compliance" xfId="518" xr:uid="{00000000-0005-0000-0000-0000D6010000}"/>
    <cellStyle name="_Corp List - Sep 04_Cash CDO &amp; AI" xfId="519" xr:uid="{00000000-0005-0000-0000-0000D7010000}"/>
    <cellStyle name="_Corp List - Sep 04_Cash CDO &amp; AI_2005_PRF breakdown_Asia Credit Market" xfId="520" xr:uid="{00000000-0005-0000-0000-0000D8010000}"/>
    <cellStyle name="_Corp List - Sep 04_Cash CDO &amp; AI_21 Dec CM Daily" xfId="521" xr:uid="{00000000-0005-0000-0000-0000D9010000}"/>
    <cellStyle name="_Corp List - Sep 04_Cash CDO &amp; AI_ASIA SUMMARY-CONSOL2" xfId="522" xr:uid="{00000000-0005-0000-0000-0000DA010000}"/>
    <cellStyle name="_Corp List - Sep 04_Cash CDO &amp; AI_ASIAPnLRisk" xfId="523" xr:uid="{00000000-0005-0000-0000-0000DB010000}"/>
    <cellStyle name="_Corp List - Sep 04_Cash CDO &amp; AI_ASIAPnLRisk_06_0131B" xfId="524" xr:uid="{00000000-0005-0000-0000-0000DC010000}"/>
    <cellStyle name="_Corp List - Sep 04_Cash CDO &amp; AI_ASIAPnLRisk_NEW VERSION_PPL" xfId="525" xr:uid="{00000000-0005-0000-0000-0000DD010000}"/>
    <cellStyle name="_Corp List - Sep 04_Cash CDO &amp; AI_Credit Sales" xfId="526" xr:uid="{00000000-0005-0000-0000-0000DE010000}"/>
    <cellStyle name="_Corp List - Sep 04_Cash CDO &amp; AI_Data" xfId="527" xr:uid="{00000000-0005-0000-0000-0000DF010000}"/>
    <cellStyle name="_Corp List - Sep 04_Cash CDO &amp; AI_SUMMARY" xfId="528" xr:uid="{00000000-0005-0000-0000-0000E0010000}"/>
    <cellStyle name="_Corp List - Sep 04_Credit Sales" xfId="529" xr:uid="{00000000-0005-0000-0000-0000E1010000}"/>
    <cellStyle name="_Corp List - Sep 04_Don-Marie 9-26-07 v6(CM)" xfId="530" xr:uid="{00000000-0005-0000-0000-0000E2010000}"/>
    <cellStyle name="_Corp List - Sep 04_Edsparr's historical" xfId="531" xr:uid="{00000000-0005-0000-0000-0000E3010000}"/>
    <cellStyle name="_Corp List - Sep 04_EMEA EM BD2 Forecast V2" xfId="532" xr:uid="{00000000-0005-0000-0000-0000E4010000}"/>
    <cellStyle name="_Corp List - Sep 04_EMEA EM BD2 Forecast V3" xfId="533" xr:uid="{00000000-0005-0000-0000-0000E5010000}"/>
    <cellStyle name="_Corp List - Sep 04_ENTRY SHEET" xfId="534" xr:uid="{00000000-0005-0000-0000-0000E6010000}"/>
    <cellStyle name="_Corp List - Sep 04_GEM P&amp;L ACTUAL COB 31 August 07" xfId="535" xr:uid="{00000000-0005-0000-0000-0000E7010000}"/>
    <cellStyle name="_Corp List - Sep 04_HC Tracking Feb 07BIUSHI-elee" xfId="536" xr:uid="{00000000-0005-0000-0000-0000E8010000}"/>
    <cellStyle name="_Corp List - Sep 04_MTM Figures" xfId="537" xr:uid="{00000000-0005-0000-0000-0000E9010000}"/>
    <cellStyle name="_Corp List - Sep 04_PnL_Split_Apr06" xfId="538" xr:uid="{00000000-0005-0000-0000-0000EA010000}"/>
    <cellStyle name="_Corp List - Sep 04_PnL_Split_Jan19" xfId="539" xr:uid="{00000000-0005-0000-0000-0000EB010000}"/>
    <cellStyle name="_Corp List - Sep 04_PnL_Split_Jun 02" xfId="540" xr:uid="{00000000-0005-0000-0000-0000EC010000}"/>
    <cellStyle name="_Corp List - Sep 04_PnL_Split_Jun 30_Final" xfId="541" xr:uid="{00000000-0005-0000-0000-0000ED010000}"/>
    <cellStyle name="_Corp List - Sep 04_PnL_Split_Mar06 - v2" xfId="542" xr:uid="{00000000-0005-0000-0000-0000EE010000}"/>
    <cellStyle name="_Corp List - Sep 04_PnL_Split_Mar15 - v2" xfId="543" xr:uid="{00000000-0005-0000-0000-0000EF010000}"/>
    <cellStyle name="_Corp List - Sep 04_PnL_Split_Mar16 - v2" xfId="544" xr:uid="{00000000-0005-0000-0000-0000F0010000}"/>
    <cellStyle name="_Corp List - Sep 04_PnL_Split_May16" xfId="545" xr:uid="{00000000-0005-0000-0000-0000F1010000}"/>
    <cellStyle name="_Corp List - Sep 04_PnL_Split_May24" xfId="546" xr:uid="{00000000-0005-0000-0000-0000F2010000}"/>
    <cellStyle name="_Corp List - Sep 04_PnL_Split_May26" xfId="547" xr:uid="{00000000-0005-0000-0000-0000F3010000}"/>
    <cellStyle name="_Corp List - Sep 04_PnL_Split_May30" xfId="548" xr:uid="{00000000-0005-0000-0000-0000F4010000}"/>
    <cellStyle name="_Corp List - Sep 04_Restricted_PPL_28Jun" xfId="549" xr:uid="{00000000-0005-0000-0000-0000F5010000}"/>
    <cellStyle name="_Corp List - Sep 04_Sheet1" xfId="550" xr:uid="{00000000-0005-0000-0000-0000F6010000}"/>
    <cellStyle name="_Corp List - Sep 04_SSG" xfId="551" xr:uid="{00000000-0005-0000-0000-0000F7010000}"/>
    <cellStyle name="_Corp List - Sep 04_SSG_2005_PRF breakdown_Asia Credit Market" xfId="552" xr:uid="{00000000-0005-0000-0000-0000F8010000}"/>
    <cellStyle name="_Corp List - Sep 04_SSG_21 Dec CM Daily" xfId="553" xr:uid="{00000000-0005-0000-0000-0000F9010000}"/>
    <cellStyle name="_Corp List - Sep 04_SSG_ASIA SUMMARY-CONSOL2" xfId="554" xr:uid="{00000000-0005-0000-0000-0000FA010000}"/>
    <cellStyle name="_Corp List - Sep 04_SSG_ASIAPnLRisk" xfId="555" xr:uid="{00000000-0005-0000-0000-0000FB010000}"/>
    <cellStyle name="_Corp List - Sep 04_SSG_ASIAPnLRisk_06_0131B" xfId="556" xr:uid="{00000000-0005-0000-0000-0000FC010000}"/>
    <cellStyle name="_Corp List - Sep 04_SSG_ASIAPnLRisk_NEW VERSION_PPL" xfId="557" xr:uid="{00000000-0005-0000-0000-0000FD010000}"/>
    <cellStyle name="_Corp List - Sep 04_SSG_Credit Sales" xfId="558" xr:uid="{00000000-0005-0000-0000-0000FE010000}"/>
    <cellStyle name="_Corp List - Sep 04_SSG_Data" xfId="559" xr:uid="{00000000-0005-0000-0000-0000FF010000}"/>
    <cellStyle name="_Corp List - Sep 04_SSG_SUMMARY" xfId="560" xr:uid="{00000000-0005-0000-0000-000000020000}"/>
    <cellStyle name="_Corp List - Sep 04_Summary " xfId="561" xr:uid="{00000000-0005-0000-0000-000001020000}"/>
    <cellStyle name="_CORPORATE" xfId="562" xr:uid="{00000000-0005-0000-0000-000002020000}"/>
    <cellStyle name="_Covenant compliance 11-18-07 v3" xfId="563" xr:uid="{00000000-0005-0000-0000-000003020000}"/>
    <cellStyle name="_Covenant compliance 11-19-07 v2" xfId="564" xr:uid="{00000000-0005-0000-0000-000004020000}"/>
    <cellStyle name="_cover page" xfId="565" xr:uid="{00000000-0005-0000-0000-000005020000}"/>
    <cellStyle name="_cover page_Book1" xfId="566" xr:uid="{00000000-0005-0000-0000-000006020000}"/>
    <cellStyle name="_cover page_File 1 - 2008 &amp; 2009 MYF - Board Pre-read View 7.24.08" xfId="567" xr:uid="{00000000-0005-0000-0000-000007020000}"/>
    <cellStyle name="_cover page_Supplemental Sheets 5.20.09" xfId="568" xr:uid="{00000000-0005-0000-0000-000008020000}"/>
    <cellStyle name="_Cr Exotics" xfId="569" xr:uid="{00000000-0005-0000-0000-000009020000}"/>
    <cellStyle name="_Cr Exotics_Data" xfId="570" xr:uid="{00000000-0005-0000-0000-00000A020000}"/>
    <cellStyle name="_Cr Exotics_Summary" xfId="571" xr:uid="{00000000-0005-0000-0000-00000B020000}"/>
    <cellStyle name="_Credit Costs 5.12.08tracker" xfId="572" xr:uid="{00000000-0005-0000-0000-00000C020000}"/>
    <cellStyle name="_Credit Costs Slides - April EMR" xfId="573" xr:uid="{00000000-0005-0000-0000-00000D020000}"/>
    <cellStyle name="_Credit Markets February Control Meeting" xfId="574" xr:uid="{00000000-0005-0000-0000-00000E020000}"/>
    <cellStyle name="_Credit Markets October Control meeting" xfId="575" xr:uid="{00000000-0005-0000-0000-00000F020000}"/>
    <cellStyle name="_Credit Metrics Slide - April" xfId="576" xr:uid="{00000000-0005-0000-0000-000010020000}"/>
    <cellStyle name="_Credit Sales" xfId="577" xr:uid="{00000000-0005-0000-0000-000011020000}"/>
    <cellStyle name="_CREDIT SUMM" xfId="578" xr:uid="{00000000-0005-0000-0000-000012020000}"/>
    <cellStyle name="_CREDIT SUMM_2005_PRF breakdown_Asia Credit Market" xfId="579" xr:uid="{00000000-0005-0000-0000-000013020000}"/>
    <cellStyle name="_CREDIT SUMM_21 Dec CM Daily" xfId="580" xr:uid="{00000000-0005-0000-0000-000014020000}"/>
    <cellStyle name="_CREDIT SUMM_ASIA SUMMARY-CONSOL2" xfId="581" xr:uid="{00000000-0005-0000-0000-000015020000}"/>
    <cellStyle name="_CREDIT SUMM_ASIAPnLRisk" xfId="582" xr:uid="{00000000-0005-0000-0000-000016020000}"/>
    <cellStyle name="_CREDIT SUMM_ASIAPnLRisk_06_0131B" xfId="583" xr:uid="{00000000-0005-0000-0000-000017020000}"/>
    <cellStyle name="_CREDIT SUMM_ASIAPnLRisk_NEW VERSION_PPL" xfId="584" xr:uid="{00000000-0005-0000-0000-000018020000}"/>
    <cellStyle name="_CREDIT SUMM_Credit Sales" xfId="585" xr:uid="{00000000-0005-0000-0000-000019020000}"/>
    <cellStyle name="_CREDIT SUMM_Data" xfId="586" xr:uid="{00000000-0005-0000-0000-00001A020000}"/>
    <cellStyle name="_CREDIT SUMM_SUMMARY" xfId="587" xr:uid="{00000000-0005-0000-0000-00001B020000}"/>
    <cellStyle name="_CREGS 2006 Budget Review 11.28.05" xfId="588" xr:uid="{00000000-0005-0000-0000-00001C020000}"/>
    <cellStyle name="_CT&amp;O Deck for Jamie Review  20 Nov FINAL v2" xfId="589" xr:uid="{00000000-0005-0000-0000-00001D020000}"/>
    <cellStyle name="_CT&amp;O Deck for Jamie Review  20 Nov FINAL v2_Book1" xfId="590" xr:uid="{00000000-0005-0000-0000-00001E020000}"/>
    <cellStyle name="_CT&amp;O Deck for Jamie Review  20 Nov FINAL v2_File 1 - 2008 &amp; 2009 MYF - Board Pre-read View 7.24.08" xfId="591" xr:uid="{00000000-0005-0000-0000-00001F020000}"/>
    <cellStyle name="_CT&amp;O Deck for Jamie Review  20 Nov FINAL v2_Supplemental Sheets 5.20.09" xfId="592" xr:uid="{00000000-0005-0000-0000-000020020000}"/>
    <cellStyle name="_CT&amp;o Deck for Jamie Review ~ 20 Nov FINAL" xfId="593" xr:uid="{00000000-0005-0000-0000-000021020000}"/>
    <cellStyle name="_CT&amp;o Deck for Jamie Review ~ 20 Nov FINAL_Book1" xfId="594" xr:uid="{00000000-0005-0000-0000-000022020000}"/>
    <cellStyle name="_CT&amp;o Deck for Jamie Review ~ 20 Nov FINAL_File 1 - 2008 &amp; 2009 MYF - Board Pre-read View 7.24.08" xfId="595" xr:uid="{00000000-0005-0000-0000-000023020000}"/>
    <cellStyle name="_CT&amp;o Deck for Jamie Review ~ 20 Nov FINAL_Supplemental Sheets 5.20.09" xfId="596" xr:uid="{00000000-0005-0000-0000-000024020000}"/>
    <cellStyle name="_CT&amp;O Oct BD2_ExecSummary v2 (with aspirational added)" xfId="597" xr:uid="{00000000-0005-0000-0000-000025020000}"/>
    <cellStyle name="_CT&amp;O Oct BD2_ExecSummary v2 (with aspirational added)_Book1" xfId="598" xr:uid="{00000000-0005-0000-0000-000026020000}"/>
    <cellStyle name="_CT&amp;O Oct BD2_ExecSummary v2 (with aspirational added)_File 1 - 2008 &amp; 2009 MYF - Board Pre-read View 7.24.08" xfId="599" xr:uid="{00000000-0005-0000-0000-000027020000}"/>
    <cellStyle name="_CT&amp;O Oct BD2_ExecSummary v2 (with aspirational added)_Supplemental Sheets 5.20.09" xfId="600" xr:uid="{00000000-0005-0000-0000-000028020000}"/>
    <cellStyle name="_CT&amp;O Oct BD8_ExecSummary (with aspirational added)_V3" xfId="601" xr:uid="{00000000-0005-0000-0000-000029020000}"/>
    <cellStyle name="_CT&amp;O Oct BD8_ExecSummary (with aspirational added)_V3_Book1" xfId="602" xr:uid="{00000000-0005-0000-0000-00002A020000}"/>
    <cellStyle name="_CT&amp;O Oct BD8_ExecSummary (with aspirational added)_V3_File 1 - 2008 &amp; 2009 MYF - Board Pre-read View 7.24.08" xfId="603" xr:uid="{00000000-0005-0000-0000-00002B020000}"/>
    <cellStyle name="_CT&amp;O Oct BD8_ExecSummary (with aspirational added)_V3_Supplemental Sheets 5.20.09" xfId="604" xr:uid="{00000000-0005-0000-0000-00002C020000}"/>
    <cellStyle name="_Currency" xfId="605" xr:uid="{00000000-0005-0000-0000-00002D020000}"/>
    <cellStyle name="_Currency_~1134290" xfId="606" xr:uid="{00000000-0005-0000-0000-00002E020000}"/>
    <cellStyle name="_Currency_~3036172" xfId="607" xr:uid="{00000000-0005-0000-0000-00002F020000}"/>
    <cellStyle name="_Currency_~7516164" xfId="608" xr:uid="{00000000-0005-0000-0000-000030020000}"/>
    <cellStyle name="_Currency_~9342525" xfId="609" xr:uid="{00000000-0005-0000-0000-000031020000}"/>
    <cellStyle name="_Currency_1 - Pizzi spread rec schedule" xfId="610" xr:uid="{00000000-0005-0000-0000-000032020000}"/>
    <cellStyle name="_Currency_2007 Budget Scenarios v2" xfId="611" xr:uid="{00000000-0005-0000-0000-000033020000}"/>
    <cellStyle name="_Currency_2008 Headcount Plan" xfId="612" xr:uid="{00000000-0005-0000-0000-000034020000}"/>
    <cellStyle name="_Currency_Appendix B" xfId="613" xr:uid="{00000000-0005-0000-0000-000035020000}"/>
    <cellStyle name="_Currency_Aspen Financial Update 3-8-07" xfId="614" xr:uid="{00000000-0005-0000-0000-000036020000}"/>
    <cellStyle name="_Currency_AutoPrice2000" xfId="615" xr:uid="{00000000-0005-0000-0000-000037020000}"/>
    <cellStyle name="_Currency_Book1" xfId="616" xr:uid="{00000000-0005-0000-0000-000038020000}"/>
    <cellStyle name="_Currency_Book4" xfId="617" xr:uid="{00000000-0005-0000-0000-000039020000}"/>
    <cellStyle name="_Currency_Cancun Budget Presentation PPT Excel Sheets" xfId="618" xr:uid="{00000000-0005-0000-0000-00003A020000}"/>
    <cellStyle name="_Currency_Company Operating Model v24" xfId="619" xr:uid="{00000000-0005-0000-0000-00003B020000}"/>
    <cellStyle name="_Currency_Covenant compliance 11-18-07 v3" xfId="620" xr:uid="{00000000-0005-0000-0000-00003C020000}"/>
    <cellStyle name="_Currency_Covenant compliance 11-19-07 v2" xfId="621" xr:uid="{00000000-0005-0000-0000-00003D020000}"/>
    <cellStyle name="_Currency_Earth holco capital structure" xfId="622" xr:uid="{00000000-0005-0000-0000-00003E020000}"/>
    <cellStyle name="_Currency_Enterprise V10.1 budget input" xfId="623" xr:uid="{00000000-0005-0000-0000-00003F020000}"/>
    <cellStyle name="_Currency_Latest Exposure Data" xfId="624" xr:uid="{00000000-0005-0000-0000-000040020000}"/>
    <cellStyle name="_Currency_Natural Account vs AMTD v2" xfId="625" xr:uid="{00000000-0005-0000-0000-000041020000}"/>
    <cellStyle name="_Currency_Q107 Company Estimate 3-29-07" xfId="626" xr:uid="{00000000-0005-0000-0000-000042020000}"/>
    <cellStyle name="_Currency_Q107 Company Estimate 3-8-07" xfId="627" xr:uid="{00000000-0005-0000-0000-000043020000}"/>
    <cellStyle name="_Currency_Q207 Forecast" xfId="628" xr:uid="{00000000-0005-0000-0000-000044020000}"/>
    <cellStyle name="_Currency_Q407 Consolidating Estimate" xfId="629" xr:uid="{00000000-0005-0000-0000-000045020000}"/>
    <cellStyle name="_Currency_Segment" xfId="630" xr:uid="{00000000-0005-0000-0000-000046020000}"/>
    <cellStyle name="_Currency_Spread Walk NEW_Budget ENT" xfId="631" xr:uid="{00000000-0005-0000-0000-000047020000}"/>
    <cellStyle name="_Currency_Valuation Materials_v2" xfId="632" xr:uid="{00000000-0005-0000-0000-000048020000}"/>
    <cellStyle name="_Currency_Valuation Materials_v6" xfId="633" xr:uid="{00000000-0005-0000-0000-000049020000}"/>
    <cellStyle name="_CurrencySpace" xfId="634" xr:uid="{00000000-0005-0000-0000-00004A020000}"/>
    <cellStyle name="_CurrencySpace_~1134290" xfId="635" xr:uid="{00000000-0005-0000-0000-00004B020000}"/>
    <cellStyle name="_CurrencySpace_~3036172" xfId="636" xr:uid="{00000000-0005-0000-0000-00004C020000}"/>
    <cellStyle name="_CurrencySpace_~7516164" xfId="637" xr:uid="{00000000-0005-0000-0000-00004D020000}"/>
    <cellStyle name="_CurrencySpace_~9342525" xfId="638" xr:uid="{00000000-0005-0000-0000-00004E020000}"/>
    <cellStyle name="_CurrencySpace_1 - Pizzi spread rec schedule" xfId="639" xr:uid="{00000000-0005-0000-0000-00004F020000}"/>
    <cellStyle name="_CurrencySpace_2007 Budget Scenarios v2" xfId="640" xr:uid="{00000000-0005-0000-0000-000050020000}"/>
    <cellStyle name="_CurrencySpace_2008 Headcount Plan" xfId="641" xr:uid="{00000000-0005-0000-0000-000051020000}"/>
    <cellStyle name="_CurrencySpace_Appendix B" xfId="642" xr:uid="{00000000-0005-0000-0000-000052020000}"/>
    <cellStyle name="_CurrencySpace_Aspen Financial Update 3-8-07" xfId="643" xr:uid="{00000000-0005-0000-0000-000053020000}"/>
    <cellStyle name="_CurrencySpace_AutoPrice2000" xfId="644" xr:uid="{00000000-0005-0000-0000-000054020000}"/>
    <cellStyle name="_CurrencySpace_Book1" xfId="645" xr:uid="{00000000-0005-0000-0000-000055020000}"/>
    <cellStyle name="_CurrencySpace_Book4" xfId="646" xr:uid="{00000000-0005-0000-0000-000056020000}"/>
    <cellStyle name="_CurrencySpace_Cancun Budget Presentation PPT Excel Sheets" xfId="647" xr:uid="{00000000-0005-0000-0000-000057020000}"/>
    <cellStyle name="_CurrencySpace_Company Operating Model v24" xfId="648" xr:uid="{00000000-0005-0000-0000-000058020000}"/>
    <cellStyle name="_CurrencySpace_Covenant compliance 11-18-07 v3" xfId="649" xr:uid="{00000000-0005-0000-0000-000059020000}"/>
    <cellStyle name="_CurrencySpace_Covenant compliance 11-19-07 v2" xfId="650" xr:uid="{00000000-0005-0000-0000-00005A020000}"/>
    <cellStyle name="_CurrencySpace_Earth holco capital structure" xfId="651" xr:uid="{00000000-0005-0000-0000-00005B020000}"/>
    <cellStyle name="_CurrencySpace_Enterprise V10.1 budget input" xfId="652" xr:uid="{00000000-0005-0000-0000-00005C020000}"/>
    <cellStyle name="_CurrencySpace_Latest Exposure Data" xfId="653" xr:uid="{00000000-0005-0000-0000-00005D020000}"/>
    <cellStyle name="_CurrencySpace_Natural Account vs AMTD v2" xfId="654" xr:uid="{00000000-0005-0000-0000-00005E020000}"/>
    <cellStyle name="_CurrencySpace_Q107 Company Estimate 3-29-07" xfId="655" xr:uid="{00000000-0005-0000-0000-00005F020000}"/>
    <cellStyle name="_CurrencySpace_Q107 Company Estimate 3-8-07" xfId="656" xr:uid="{00000000-0005-0000-0000-000060020000}"/>
    <cellStyle name="_CurrencySpace_Q207 Forecast" xfId="657" xr:uid="{00000000-0005-0000-0000-000061020000}"/>
    <cellStyle name="_CurrencySpace_Q407 Consolidating Estimate" xfId="658" xr:uid="{00000000-0005-0000-0000-000062020000}"/>
    <cellStyle name="_CurrencySpace_Segment" xfId="659" xr:uid="{00000000-0005-0000-0000-000063020000}"/>
    <cellStyle name="_CurrencySpace_Spread Walk NEW_Budget ENT" xfId="660" xr:uid="{00000000-0005-0000-0000-000064020000}"/>
    <cellStyle name="_CurrencySpace_Valuation Materials_v2" xfId="661" xr:uid="{00000000-0005-0000-0000-000065020000}"/>
    <cellStyle name="_CurrencySpace_Valuation Materials_v6" xfId="662" xr:uid="{00000000-0005-0000-0000-000066020000}"/>
    <cellStyle name="_cut2" xfId="663" xr:uid="{00000000-0005-0000-0000-000067020000}"/>
    <cellStyle name="_cut2_A" xfId="664" xr:uid="{00000000-0005-0000-0000-000068020000}"/>
    <cellStyle name="_CVA DVA Explain_Apr 09_0511" xfId="665" xr:uid="{00000000-0005-0000-0000-000069020000}"/>
    <cellStyle name="_CVA DVA Explain_May 09_2" xfId="666" xr:uid="{00000000-0005-0000-0000-00006A020000}"/>
    <cellStyle name="_CVA_DVA Explain_2" xfId="667" xr:uid="{00000000-0005-0000-0000-00006B020000}"/>
    <cellStyle name="_Daily" xfId="668" xr:uid="{00000000-0005-0000-0000-00006C020000}"/>
    <cellStyle name="_Daily PL" xfId="669" xr:uid="{00000000-0005-0000-0000-00006D020000}"/>
    <cellStyle name="_Data" xfId="670" xr:uid="{00000000-0005-0000-0000-00006E020000}"/>
    <cellStyle name="_DataMTD" xfId="671" xr:uid="{00000000-0005-0000-0000-00006F020000}"/>
    <cellStyle name="_DataYTD" xfId="672" xr:uid="{00000000-0005-0000-0000-000070020000}"/>
    <cellStyle name="_Defaulted Derivs (EMR) - 0210" xfId="673" xr:uid="{00000000-0005-0000-0000-000071020000}"/>
    <cellStyle name="_Defaulted Derivs Rec - 013110 (Cristal P&amp;L drops)" xfId="674" xr:uid="{00000000-0005-0000-0000-000072020000}"/>
    <cellStyle name="_Defaulted Derivs Rec - 013110 (Cristal P&amp;L drops)_Defaulted Derivs Rec - 022810 (Cristal vs GL PnL rec) BD3" xfId="675" xr:uid="{00000000-0005-0000-0000-000073020000}"/>
    <cellStyle name="_Defaulted Derivs Rec - 022810 (Cristal vs GL PnL rec) BD3" xfId="676" xr:uid="{00000000-0005-0000-0000-000074020000}"/>
    <cellStyle name="_Details from CMR Final - Sep 06" xfId="677" xr:uid="{00000000-0005-0000-0000-000075020000}"/>
    <cellStyle name="_Disc Agency ARMs" xfId="678" xr:uid="{00000000-0005-0000-0000-000076020000}"/>
    <cellStyle name="_Disc Agency ARMs_A" xfId="679" xr:uid="{00000000-0005-0000-0000-000077020000}"/>
    <cellStyle name="_DM Scorecard Metrics February 06 - 0331" xfId="680" xr:uid="{00000000-0005-0000-0000-000078020000}"/>
    <cellStyle name="_DM Weekly Scorecard Metrics -041406 v3" xfId="681" xr:uid="{00000000-0005-0000-0000-000079020000}"/>
    <cellStyle name="_Don-Marie 9-26-07 v6(CM)" xfId="682" xr:uid="{00000000-0005-0000-0000-00007A020000}"/>
    <cellStyle name="_DPS" xfId="683" xr:uid="{00000000-0005-0000-0000-00007B020000}"/>
    <cellStyle name="_DRAFT_AWM_IM_March_TECH_EMR" xfId="684" xr:uid="{00000000-0005-0000-0000-00007C020000}"/>
    <cellStyle name="_DRAFT_AWM_IM_March_TECH_EMR_A" xfId="685" xr:uid="{00000000-0005-0000-0000-00007D020000}"/>
    <cellStyle name="_Earnings Slide - LLA v1 to be updated for 3Q forecast" xfId="686" xr:uid="{00000000-0005-0000-0000-00007E020000}"/>
    <cellStyle name="_Earth holco capital structure" xfId="687" xr:uid="{00000000-0005-0000-0000-00007F020000}"/>
    <cellStyle name="_EdFin Est Balance Sheet TEMPLATE 08&amp;09 rev0605" xfId="688" xr:uid="{00000000-0005-0000-0000-000080020000}"/>
    <cellStyle name="_Edsparr - June 07_Flash" xfId="689" xr:uid="{00000000-0005-0000-0000-000081020000}"/>
    <cellStyle name="_Edsparr's historical" xfId="690" xr:uid="{00000000-0005-0000-0000-000082020000}"/>
    <cellStyle name="_EMEA EM BD2 Forecast V2" xfId="691" xr:uid="{00000000-0005-0000-0000-000083020000}"/>
    <cellStyle name="_EMEA EM BD2 Forecast V3" xfId="692" xr:uid="{00000000-0005-0000-0000-000084020000}"/>
    <cellStyle name="_EMEA Emerging Market Plan 08 Templatev1.17" xfId="693" xr:uid="{00000000-0005-0000-0000-000085020000}"/>
    <cellStyle name="_EMR - Monthly Estimation IMP Grid August 06 YTD" xfId="694" xr:uid="{00000000-0005-0000-0000-000086020000}"/>
    <cellStyle name="_EMR MAR06 CTO Summary" xfId="695" xr:uid="{00000000-0005-0000-0000-000087020000}"/>
    <cellStyle name="_EMR MAR06 CTO Summary v2" xfId="696" xr:uid="{00000000-0005-0000-0000-000088020000}"/>
    <cellStyle name="_EMR MAR06 ST&amp;O Summary" xfId="697" xr:uid="{00000000-0005-0000-0000-000089020000}"/>
    <cellStyle name="_EMR-Mar Investment Productivity" xfId="698" xr:uid="{00000000-0005-0000-0000-00008A020000}"/>
    <cellStyle name="_Energy~Softs" xfId="699" xr:uid="{00000000-0005-0000-0000-00008B020000}"/>
    <cellStyle name="_Energy-Softs and Index" xfId="700" xr:uid="{00000000-0005-0000-0000-00008C020000}"/>
    <cellStyle name="_Enterprise V10.1 budget input" xfId="701" xr:uid="{00000000-0005-0000-0000-00008D020000}"/>
    <cellStyle name="_Equities Cash" xfId="702" xr:uid="{00000000-0005-0000-0000-00008E020000}"/>
    <cellStyle name="_Equities_S&amp;G and Investments_RevAssumptionR2" xfId="703" xr:uid="{00000000-0005-0000-0000-00008F020000}"/>
    <cellStyle name="_EqutiesInfoSheet_11.03.05" xfId="704" xr:uid="{00000000-0005-0000-0000-000090020000}"/>
    <cellStyle name="_EqutiesInfoSheet_11.03.05_HC Tracking Feb 07BIUSHI-elee" xfId="705" xr:uid="{00000000-0005-0000-0000-000091020000}"/>
    <cellStyle name="_ETrade Model (Updated February 12, 2008) v.4" xfId="706" xr:uid="{00000000-0005-0000-0000-000092020000}"/>
    <cellStyle name="_Euro" xfId="707" xr:uid="{00000000-0005-0000-0000-000093020000}"/>
    <cellStyle name="_Ex-Japan Rates HC_April'07" xfId="708" xr:uid="{00000000-0005-0000-0000-000094020000}"/>
    <cellStyle name="_Exotics" xfId="709" xr:uid="{00000000-0005-0000-0000-000095020000}"/>
    <cellStyle name="_Exotics Pyramid" xfId="710" xr:uid="{00000000-0005-0000-0000-000096020000}"/>
    <cellStyle name="_FCASTAUM (Revenue Forecast)" xfId="711" xr:uid="{00000000-0005-0000-0000-000097020000}"/>
    <cellStyle name="_Feb Month Investment Productivity" xfId="712" xr:uid="{00000000-0005-0000-0000-000098020000}"/>
    <cellStyle name="_FEGL&amp;PSGL_Jul05" xfId="713" xr:uid="{00000000-0005-0000-0000-000099020000}"/>
    <cellStyle name="_Final" xfId="714" xr:uid="{00000000-0005-0000-0000-00009A020000}"/>
    <cellStyle name="_Final '07 Bottoms Up" xfId="715" xr:uid="{00000000-0005-0000-0000-00009B020000}"/>
    <cellStyle name="_Final Revenues Sep" xfId="716" xr:uid="{00000000-0005-0000-0000-00009C020000}"/>
    <cellStyle name="_Final_A" xfId="717" xr:uid="{00000000-0005-0000-0000-00009D020000}"/>
    <cellStyle name="_For FO" xfId="718" xr:uid="{00000000-0005-0000-0000-00009E020000}"/>
    <cellStyle name="_Forecast 3Q_8_05_08" xfId="719" xr:uid="{00000000-0005-0000-0000-00009F020000}"/>
    <cellStyle name="_Format Example" xfId="720" xr:uid="{00000000-0005-0000-0000-0000A0020000}"/>
    <cellStyle name="_Frank B 11-7-06 Draft (pages from 10-23 allocs roundtable)" xfId="721" xr:uid="{00000000-0005-0000-0000-0000A1020000}"/>
    <cellStyle name="_FSA OCt 06.final" xfId="722" xr:uid="{00000000-0005-0000-0000-0000A2020000}"/>
    <cellStyle name="_Functional model Danny V4" xfId="723" xr:uid="{00000000-0005-0000-0000-0000A3020000}"/>
    <cellStyle name="_Functional PnL 06 Budget Summary LS v7 (Proposed new L2)" xfId="724" xr:uid="{00000000-0005-0000-0000-0000A4020000}"/>
    <cellStyle name="_FunctionalpnlSlides_Michelle(old)" xfId="725" xr:uid="{00000000-0005-0000-0000-0000A5020000}"/>
    <cellStyle name="_FX- FXO Aug Flash pending numbers v0.02" xfId="726" xr:uid="{00000000-0005-0000-0000-0000A6020000}"/>
    <cellStyle name="_FY Forecast Tracker 9.25.08 v3" xfId="727" xr:uid="{00000000-0005-0000-0000-0000A7020000}"/>
    <cellStyle name="_GCCG EMR control pages - Apr 07" xfId="728" xr:uid="{00000000-0005-0000-0000-0000A8020000}"/>
    <cellStyle name="_GCCG templates" xfId="729" xr:uid="{00000000-0005-0000-0000-0000A9020000}"/>
    <cellStyle name="_GEM P&amp;L ACTUAL COB 31 August 07" xfId="730" xr:uid="{00000000-0005-0000-0000-0000AA020000}"/>
    <cellStyle name="_GEM Plan 08- Investment - Productivityv 0.08" xfId="731" xr:uid="{00000000-0005-0000-0000-0000AB020000}"/>
    <cellStyle name="_General Services - BD9 Files_JAN_2006" xfId="732" xr:uid="{00000000-0005-0000-0000-0000AC020000}"/>
    <cellStyle name="_General Services - BD9 Files_JAN_2006_FY Forecast Tracker 9.25.08 v3" xfId="733" xr:uid="{00000000-0005-0000-0000-0000AD020000}"/>
    <cellStyle name="_General Services - BD9 Files_JAN_2006_IB Fcst Variance 1-23-09" xfId="734" xr:uid="{00000000-0005-0000-0000-0000AE020000}"/>
    <cellStyle name="_General Services - BD9 Files_JAN_2006_IB Mgmt Fcst 1-23-09" xfId="735" xr:uid="{00000000-0005-0000-0000-0000AF020000}"/>
    <cellStyle name="_General Services - BD9 Files_JAN_2006_NI Schedule 10.24.08 v2" xfId="736" xr:uid="{00000000-0005-0000-0000-0000B0020000}"/>
    <cellStyle name="_General Services - BD9 Files_JAN_2006_NI Schedule 11.26.08 (MGMT) v3" xfId="737" xr:uid="{00000000-0005-0000-0000-0000B1020000}"/>
    <cellStyle name="_General Services - BD9 Files_JAN_2006_One time Itemsv3" xfId="738" xr:uid="{00000000-0005-0000-0000-0000B2020000}"/>
    <cellStyle name="_General Services - BD9 Files_JAN_2006_Supplemental Sheets 5.20.09" xfId="739" xr:uid="{00000000-0005-0000-0000-0000B3020000}"/>
    <cellStyle name="_General Services BD2 Estimate-Feb 2006" xfId="740" xr:uid="{00000000-0005-0000-0000-0000B4020000}"/>
    <cellStyle name="_General Services BD2 Estimate-Feb 2006_Tracker 2Q  5.12.08" xfId="741" xr:uid="{00000000-0005-0000-0000-0000B5020000}"/>
    <cellStyle name="_General Services BD2 Estimate-Feb 2006_Tracker 2Q  5.15.08" xfId="742" xr:uid="{00000000-0005-0000-0000-0000B6020000}"/>
    <cellStyle name="_General Servvices - 1Q 2006 Financial Update" xfId="743" xr:uid="{00000000-0005-0000-0000-0000B7020000}"/>
    <cellStyle name="_General Servvices - 1Q 2006 Financial Update_Tracker 2Q  5.12.08" xfId="744" xr:uid="{00000000-0005-0000-0000-0000B8020000}"/>
    <cellStyle name="_General Servvices - 1Q 2006 Financial Update_Tracker 2Q  5.15.08" xfId="745" xr:uid="{00000000-0005-0000-0000-0000B9020000}"/>
    <cellStyle name="_Global Eq First Round Investments 9 21 07" xfId="746" xr:uid="{00000000-0005-0000-0000-0000BA020000}"/>
    <cellStyle name="_Global Exotics" xfId="747" xr:uid="{00000000-0005-0000-0000-0000BB020000}"/>
    <cellStyle name="_GM Capital Structure" xfId="748" xr:uid="{00000000-0005-0000-0000-0000BC020000}"/>
    <cellStyle name="_GM Capital Structure v 2" xfId="749" xr:uid="{00000000-0005-0000-0000-0000BD020000}"/>
    <cellStyle name="_GMAC_Chrysler Tracker v.27" xfId="750" xr:uid="{00000000-0005-0000-0000-0000BE020000}"/>
    <cellStyle name="_GPG PL" xfId="751" xr:uid="{00000000-0005-0000-0000-0000BF020000}"/>
    <cellStyle name="_Graphs F3 and Round 1A 2007 IMI.1" xfId="752" xr:uid="{00000000-0005-0000-0000-0000C0020000}"/>
    <cellStyle name="_Gross Loan" xfId="753" xr:uid="{00000000-0005-0000-0000-0000C1020000}"/>
    <cellStyle name="_GROSSPL" xfId="754" xr:uid="{00000000-0005-0000-0000-0000C2020000}"/>
    <cellStyle name="_GTD" xfId="755" xr:uid="{00000000-0005-0000-0000-0000C3020000}"/>
    <cellStyle name="_GTI 2006 Plan_ Supporting Document Waterfalls" xfId="756" xr:uid="{00000000-0005-0000-0000-0000C4020000}"/>
    <cellStyle name="_gti depr_amort 121305" xfId="757" xr:uid="{00000000-0005-0000-0000-0000C5020000}"/>
    <cellStyle name="_GTI HC FY Forecast Temp" xfId="758" xr:uid="{00000000-0005-0000-0000-0000C6020000}"/>
    <cellStyle name="_GTI HC FY Forecast Temp_Book1" xfId="759" xr:uid="{00000000-0005-0000-0000-0000C7020000}"/>
    <cellStyle name="_GTI HC FY Forecast Temp_File 1 - 2008 &amp; 2009 MYF - Board Pre-read View 7.24.08" xfId="760" xr:uid="{00000000-0005-0000-0000-0000C8020000}"/>
    <cellStyle name="_GTI HC FY Forecast Temp_Supplemental Sheets 5.20.09" xfId="761" xr:uid="{00000000-0005-0000-0000-0000C9020000}"/>
    <cellStyle name="_GTI HC FY Forecast Temp_Tracker 2Q  5.12.08" xfId="762" xr:uid="{00000000-0005-0000-0000-0000CA020000}"/>
    <cellStyle name="_GTI HC FY Forecast Temp_Tracker 2Q  5.15.08" xfId="763" xr:uid="{00000000-0005-0000-0000-0000CB020000}"/>
    <cellStyle name="_GTI tower BD9_Exp_Template2_Submissions" xfId="764" xr:uid="{00000000-0005-0000-0000-0000CC020000}"/>
    <cellStyle name="_GTI tower BD9_Exp_Template2_Submissions_FY Forecast Tracker 9.25.08 v3" xfId="765" xr:uid="{00000000-0005-0000-0000-0000CD020000}"/>
    <cellStyle name="_GTI tower BD9_Exp_Template2_Submissions_IB Fcst Variance 1-23-09" xfId="766" xr:uid="{00000000-0005-0000-0000-0000CE020000}"/>
    <cellStyle name="_GTI tower BD9_Exp_Template2_Submissions_IB Mgmt Fcst 1-23-09" xfId="767" xr:uid="{00000000-0005-0000-0000-0000CF020000}"/>
    <cellStyle name="_GTI tower BD9_Exp_Template2_Submissions_NI Schedule 10.24.08 v2" xfId="768" xr:uid="{00000000-0005-0000-0000-0000D0020000}"/>
    <cellStyle name="_GTI tower BD9_Exp_Template2_Submissions_NI Schedule 11.26.08 (MGMT) v3" xfId="769" xr:uid="{00000000-0005-0000-0000-0000D1020000}"/>
    <cellStyle name="_GTI tower BD9_Exp_Template2_Submissions_One time Itemsv3" xfId="770" xr:uid="{00000000-0005-0000-0000-0000D2020000}"/>
    <cellStyle name="_GTI tower BD9_Exp_Template2_Submissions_Supplemental Sheets 5.20.09" xfId="771" xr:uid="{00000000-0005-0000-0000-0000D3020000}"/>
    <cellStyle name="_GTI tower BD9_Exp_Template2_Submissions_Tracker 2Q  5.12.08" xfId="772" xr:uid="{00000000-0005-0000-0000-0000D4020000}"/>
    <cellStyle name="_GTI tower BD9_Exp_Template2_Submissions_Tracker 2Q  5.15.08" xfId="773" xr:uid="{00000000-0005-0000-0000-0000D5020000}"/>
    <cellStyle name="_HC Numbers (2006 Plan) Templates 15 &amp; 16 - 09-15-2005" xfId="774" xr:uid="{00000000-0005-0000-0000-0000D6020000}"/>
    <cellStyle name="_HC Numbers (2006 Plan) Templates 15 &amp; 16 - 09-15-2005_Book1" xfId="775" xr:uid="{00000000-0005-0000-0000-0000D7020000}"/>
    <cellStyle name="_HC Numbers (2006 Plan) Templates 15 &amp; 16 - 09-15-2005_File 1 - 2008 &amp; 2009 MYF - Board Pre-read View 7.24.08" xfId="776" xr:uid="{00000000-0005-0000-0000-0000D8020000}"/>
    <cellStyle name="_HC Numbers (2006 Plan) Templates 15 &amp; 16 - 09-15-2005_Supplemental Sheets 5.20.09" xfId="777" xr:uid="{00000000-0005-0000-0000-0000D9020000}"/>
    <cellStyle name="_HC Numbers (2006 Plan) Templates 15 &amp; 16 - 09-15-2005_Tracker 2Q  5.12.08" xfId="778" xr:uid="{00000000-0005-0000-0000-0000DA020000}"/>
    <cellStyle name="_HC Numbers (2006 Plan) Templates 15 &amp; 16 - 09-15-2005_Tracker 2Q  5.15.08" xfId="779" xr:uid="{00000000-0005-0000-0000-0000DB020000}"/>
    <cellStyle name="_HC Tracking Feb 07BIUSHI-elee" xfId="780" xr:uid="{00000000-0005-0000-0000-0000DC020000}"/>
    <cellStyle name="_HC Tracking July 07" xfId="781" xr:uid="{00000000-0005-0000-0000-0000DD020000}"/>
    <cellStyle name="_Headcount Buildup Zoran" xfId="782" xr:uid="{00000000-0005-0000-0000-0000DE020000}"/>
    <cellStyle name="_Headcount Buildup Zoran_FY Forecast Tracker 9.25.08 v3" xfId="783" xr:uid="{00000000-0005-0000-0000-0000DF020000}"/>
    <cellStyle name="_Headcount Buildup Zoran_IB Fcst Variance 1-23-09" xfId="784" xr:uid="{00000000-0005-0000-0000-0000E0020000}"/>
    <cellStyle name="_Headcount Buildup Zoran_IB Mgmt Fcst 1-23-09" xfId="785" xr:uid="{00000000-0005-0000-0000-0000E1020000}"/>
    <cellStyle name="_Headcount Buildup Zoran_NI Schedule 10.24.08 v2" xfId="786" xr:uid="{00000000-0005-0000-0000-0000E2020000}"/>
    <cellStyle name="_Headcount Buildup Zoran_NI Schedule 11.26.08 (MGMT) v3" xfId="787" xr:uid="{00000000-0005-0000-0000-0000E3020000}"/>
    <cellStyle name="_Headcount Buildup Zoran_One time Itemsv3" xfId="788" xr:uid="{00000000-0005-0000-0000-0000E4020000}"/>
    <cellStyle name="_Headcount Buildup Zoran_Supplemental Sheets 5.20.09" xfId="789" xr:uid="{00000000-0005-0000-0000-0000E5020000}"/>
    <cellStyle name="_Headcount Buildup Zoran_Tracker 2Q  5.12.08" xfId="790" xr:uid="{00000000-0005-0000-0000-0000E6020000}"/>
    <cellStyle name="_Headcount Buildup Zoran_Tracker 2Q  5.15.08" xfId="791" xr:uid="{00000000-0005-0000-0000-0000E7020000}"/>
    <cellStyle name="_Heading" xfId="792" xr:uid="{00000000-0005-0000-0000-0000E8020000}"/>
    <cellStyle name="_Heading_2009 budget balance sheet &amp; capital v3" xfId="793" xr:uid="{00000000-0005-0000-0000-0000E9020000}"/>
    <cellStyle name="_Heading_2009 budget by quarter 3-03-09 1200hrs" xfId="794" xr:uid="{00000000-0005-0000-0000-0000EA020000}"/>
    <cellStyle name="_Heading_BS" xfId="795" xr:uid="{00000000-0005-0000-0000-0000EB020000}"/>
    <cellStyle name="_Heading_BS compliance" xfId="796" xr:uid="{00000000-0005-0000-0000-0000EC020000}"/>
    <cellStyle name="_Heading_Don-Marie 9-26-07 v6(CM)" xfId="797" xr:uid="{00000000-0005-0000-0000-0000ED020000}"/>
    <cellStyle name="_Heading_Final Budget Book 3-6" xfId="798" xr:uid="{00000000-0005-0000-0000-0000EE020000}"/>
    <cellStyle name="_Heading_IB Headcount Summary" xfId="799" xr:uid="{00000000-0005-0000-0000-0000EF020000}"/>
    <cellStyle name="_Heading_IB Headcount Summary 2" xfId="800" xr:uid="{00000000-0005-0000-0000-0000F0020000}"/>
    <cellStyle name="_Heading_IB Investments and Productivity" xfId="801" xr:uid="{00000000-0005-0000-0000-0000F1020000}"/>
    <cellStyle name="_Heading_management fee calc.071604" xfId="802" xr:uid="{00000000-0005-0000-0000-0000F2020000}"/>
    <cellStyle name="_Heading_management fee calc.071604_2007 Headcount" xfId="803" xr:uid="{00000000-0005-0000-0000-0000F3020000}"/>
    <cellStyle name="_Heading_management fee calc.071604_Sheet1" xfId="804" xr:uid="{00000000-0005-0000-0000-0000F4020000}"/>
    <cellStyle name="_Heading_management fee calc.071604_Stress" xfId="805" xr:uid="{00000000-0005-0000-0000-0000F5020000}"/>
    <cellStyle name="_Heading_management fee calc.071604_Summary" xfId="806" xr:uid="{00000000-0005-0000-0000-0000F6020000}"/>
    <cellStyle name="_Heading_Nov28pf" xfId="807" xr:uid="{00000000-0005-0000-0000-0000F7020000}"/>
    <cellStyle name="_Heading_prestemp" xfId="808" xr:uid="{00000000-0005-0000-0000-0000F8020000}"/>
    <cellStyle name="_Heading_prestemp_2007 Headcount" xfId="809" xr:uid="{00000000-0005-0000-0000-0000F9020000}"/>
    <cellStyle name="_Heading_prestemp_Sheet1" xfId="810" xr:uid="{00000000-0005-0000-0000-0000FA020000}"/>
    <cellStyle name="_Heading_prestemp_Stress" xfId="811" xr:uid="{00000000-0005-0000-0000-0000FB020000}"/>
    <cellStyle name="_Heading_prestemp_Summary" xfId="812" xr:uid="{00000000-0005-0000-0000-0000FC020000}"/>
    <cellStyle name="_Heading_Round 1 Summary FINAL 28 Sep" xfId="813" xr:uid="{00000000-0005-0000-0000-0000FD020000}"/>
    <cellStyle name="_Heading_Round 2 Adj Budget Book v2" xfId="814" xr:uid="{00000000-0005-0000-0000-0000FE020000}"/>
    <cellStyle name="_Heading_Sheet1" xfId="815" xr:uid="{00000000-0005-0000-0000-0000FF020000}"/>
    <cellStyle name="_Heading_Valuation Materials_v6" xfId="816" xr:uid="{00000000-0005-0000-0000-000000030000}"/>
    <cellStyle name="_HG DCM Financials" xfId="817" xr:uid="{00000000-0005-0000-0000-000001030000}"/>
    <cellStyle name="_Hierarchy" xfId="818" xr:uid="{00000000-0005-0000-0000-000002030000}"/>
    <cellStyle name="_Hierarchy Map" xfId="819" xr:uid="{00000000-0005-0000-0000-000003030000}"/>
    <cellStyle name="_Hierarchy Map_HC Tracking Feb 07BIUSHI-elee" xfId="820" xr:uid="{00000000-0005-0000-0000-000004030000}"/>
    <cellStyle name="_Highlight" xfId="821" xr:uid="{00000000-0005-0000-0000-000005030000}"/>
    <cellStyle name="_historical" xfId="822" xr:uid="{00000000-0005-0000-0000-000006030000}"/>
    <cellStyle name="_historical_2005_PRF breakdown_Asia Credit Market" xfId="823" xr:uid="{00000000-0005-0000-0000-000007030000}"/>
    <cellStyle name="_historical_21 Dec CM Daily" xfId="824" xr:uid="{00000000-0005-0000-0000-000008030000}"/>
    <cellStyle name="_historical_ASIA SUMMARY-CONSOL2" xfId="825" xr:uid="{00000000-0005-0000-0000-000009030000}"/>
    <cellStyle name="_historical_ASIAPnLRisk" xfId="826" xr:uid="{00000000-0005-0000-0000-00000A030000}"/>
    <cellStyle name="_historical_ASIAPnLRisk_06_0131B" xfId="827" xr:uid="{00000000-0005-0000-0000-00000B030000}"/>
    <cellStyle name="_historical_ASIAPnLRisk_NEW VERSION_PPL" xfId="828" xr:uid="{00000000-0005-0000-0000-00000C030000}"/>
    <cellStyle name="_historical_Credit Sales" xfId="829" xr:uid="{00000000-0005-0000-0000-00000D030000}"/>
    <cellStyle name="_historical_Data" xfId="830" xr:uid="{00000000-0005-0000-0000-00000E030000}"/>
    <cellStyle name="_historical_SUMMARY" xfId="831" xr:uid="{00000000-0005-0000-0000-00000F030000}"/>
    <cellStyle name="_HJK_KOR_Plan 2006_2" xfId="832" xr:uid="{00000000-0005-0000-0000-000010030000}"/>
    <cellStyle name="_HK - FX Budget" xfId="833" xr:uid="{00000000-0005-0000-0000-000011030000}"/>
    <cellStyle name="_HK-PRC" xfId="834" xr:uid="{00000000-0005-0000-0000-000012030000}"/>
    <cellStyle name="_HK-PRC_2005_PRF breakdown_Asia Credit Market" xfId="835" xr:uid="{00000000-0005-0000-0000-000013030000}"/>
    <cellStyle name="_HK-PRC_21 Dec CM Daily" xfId="836" xr:uid="{00000000-0005-0000-0000-000014030000}"/>
    <cellStyle name="_HK-PRC_ASIA SUMMARY-CONSOL2" xfId="837" xr:uid="{00000000-0005-0000-0000-000015030000}"/>
    <cellStyle name="_HK-PRC_ASIAPnLRisk" xfId="838" xr:uid="{00000000-0005-0000-0000-000016030000}"/>
    <cellStyle name="_HK-PRC_ASIAPnLRisk_06_0131B" xfId="839" xr:uid="{00000000-0005-0000-0000-000017030000}"/>
    <cellStyle name="_HK-PRC_ASIAPnLRisk_NEW VERSION_PPL" xfId="840" xr:uid="{00000000-0005-0000-0000-000018030000}"/>
    <cellStyle name="_HK-PRC_Credit Sales" xfId="841" xr:uid="{00000000-0005-0000-0000-000019030000}"/>
    <cellStyle name="_HK-PRC_Data" xfId="842" xr:uid="{00000000-0005-0000-0000-00001A030000}"/>
    <cellStyle name="_HK-PRC_SUMMARY" xfId="843" xr:uid="{00000000-0005-0000-0000-00001B030000}"/>
    <cellStyle name="_HPP Check Round 2" xfId="844" xr:uid="{00000000-0005-0000-0000-00001C030000}"/>
    <cellStyle name="_HTM JPMC Leverage Lending and Allowance coverage Mar EMR (Pre - July 07 breakout) v1" xfId="845" xr:uid="{00000000-0005-0000-0000-00001D030000}"/>
    <cellStyle name="_hybrids cv plan" xfId="846" xr:uid="{00000000-0005-0000-0000-00001E030000}"/>
    <cellStyle name="_IB Fcst Variance 1-23-09" xfId="847" xr:uid="{00000000-0005-0000-0000-00001F030000}"/>
    <cellStyle name="_IB Investment Schedule-Pass 0 - 012006 (version 1)" xfId="848" xr:uid="{00000000-0005-0000-0000-000020030000}"/>
    <cellStyle name="_IB LBO-related ALRC - Feb data 100% Agency 73 mult 14.5 leq" xfId="849" xr:uid="{00000000-0005-0000-0000-000021030000}"/>
    <cellStyle name="_IB Mgmt Fcst 1-23-09" xfId="850" xr:uid="{00000000-0005-0000-0000-000022030000}"/>
    <cellStyle name="_IB NPA  03 31 2009 as of 4-8-09 (AB Backup)" xfId="851" xr:uid="{00000000-0005-0000-0000-000023030000}"/>
    <cellStyle name="_IB Operations Invoices_Oct06" xfId="852" xr:uid="{00000000-0005-0000-0000-000024030000}"/>
    <cellStyle name="_IB Operations Invoices_Sep 06" xfId="853" xr:uid="{00000000-0005-0000-0000-000025030000}"/>
    <cellStyle name="_IB Ops Invoices_July 2006 FINAL MIS" xfId="854" xr:uid="{00000000-0005-0000-0000-000026030000}"/>
    <cellStyle name="_IB Ops June Invoices FINAL unlinked" xfId="855" xr:uid="{00000000-0005-0000-0000-000027030000}"/>
    <cellStyle name="_iCTO metrics" xfId="856" xr:uid="{00000000-0005-0000-0000-000028030000}"/>
    <cellStyle name="_iCTO metrics_A" xfId="857" xr:uid="{00000000-0005-0000-0000-000029030000}"/>
    <cellStyle name="_iCTO metrics_FY Forecast Tracker 9.25.08 v3" xfId="858" xr:uid="{00000000-0005-0000-0000-00002A030000}"/>
    <cellStyle name="_iCTO metrics_IB Fcst Variance 1-23-09" xfId="859" xr:uid="{00000000-0005-0000-0000-00002B030000}"/>
    <cellStyle name="_iCTO metrics_IB Mgmt Fcst 1-23-09" xfId="860" xr:uid="{00000000-0005-0000-0000-00002C030000}"/>
    <cellStyle name="_iCTO metrics_NI Schedule 10.24.08 v2" xfId="861" xr:uid="{00000000-0005-0000-0000-00002D030000}"/>
    <cellStyle name="_iCTO metrics_NI Schedule 11.26.08 (MGMT) v3" xfId="862" xr:uid="{00000000-0005-0000-0000-00002E030000}"/>
    <cellStyle name="_iCTO metrics_One time Itemsv3" xfId="863" xr:uid="{00000000-0005-0000-0000-00002F030000}"/>
    <cellStyle name="_iCTO metrics_Supplemental Sheets 5.20.09" xfId="864" xr:uid="{00000000-0005-0000-0000-000030030000}"/>
    <cellStyle name="_iCTO_Metrics_WIP" xfId="865" xr:uid="{00000000-0005-0000-0000-000031030000}"/>
    <cellStyle name="_iCTO_Metrics_WIP_FY Forecast Tracker 9.25.08 v3" xfId="866" xr:uid="{00000000-0005-0000-0000-000032030000}"/>
    <cellStyle name="_iCTO_Metrics_WIP_IB Fcst Variance 1-23-09" xfId="867" xr:uid="{00000000-0005-0000-0000-000033030000}"/>
    <cellStyle name="_iCTO_Metrics_WIP_IB Mgmt Fcst 1-23-09" xfId="868" xr:uid="{00000000-0005-0000-0000-000034030000}"/>
    <cellStyle name="_iCTO_Metrics_WIP_NI Schedule 10.24.08 v2" xfId="869" xr:uid="{00000000-0005-0000-0000-000035030000}"/>
    <cellStyle name="_iCTO_Metrics_WIP_NI Schedule 11.26.08 (MGMT) v3" xfId="870" xr:uid="{00000000-0005-0000-0000-000036030000}"/>
    <cellStyle name="_iCTO_Metrics_WIP_One time Itemsv3" xfId="871" xr:uid="{00000000-0005-0000-0000-000037030000}"/>
    <cellStyle name="_iCTO_Metrics_WIP_Supplemental Sheets 5.20.09" xfId="872" xr:uid="{00000000-0005-0000-0000-000038030000}"/>
    <cellStyle name="_iCTO_Metrics_WIP_Tracker 2Q  5.12.08" xfId="873" xr:uid="{00000000-0005-0000-0000-000039030000}"/>
    <cellStyle name="_iCTO_Metrics_WIP_Tracker 2Q  5.15.08" xfId="874" xr:uid="{00000000-0005-0000-0000-00003A030000}"/>
    <cellStyle name="_IMI 2006 Budget Deck.FINAL" xfId="875" xr:uid="{00000000-0005-0000-0000-00003B030000}"/>
    <cellStyle name="_IMI EMR Report. March 2007" xfId="876" xr:uid="{00000000-0005-0000-0000-00003C030000}"/>
    <cellStyle name="_IMI F1 Review Flows Pages Apr07" xfId="877" xr:uid="{00000000-0005-0000-0000-00003D030000}"/>
    <cellStyle name="_IMI F1.  Excel backing files.final.with additional F1 adj center topsides" xfId="878" xr:uid="{00000000-0005-0000-0000-00003E030000}"/>
    <cellStyle name="_IMI MYF Headcounts" xfId="879" xr:uid="{00000000-0005-0000-0000-00003F030000}"/>
    <cellStyle name="_IMI Round 1A and F3 Presentation.5" xfId="880" xr:uid="{00000000-0005-0000-0000-000040030000}"/>
    <cellStyle name="_Index Hedge GL Split" xfId="881" xr:uid="{00000000-0005-0000-0000-000041030000}"/>
    <cellStyle name="_Input" xfId="882" xr:uid="{00000000-0005-0000-0000-000042030000}"/>
    <cellStyle name="_Input_A" xfId="883" xr:uid="{00000000-0005-0000-0000-000043030000}"/>
    <cellStyle name="_INT DEALLIST" xfId="884" xr:uid="{00000000-0005-0000-0000-000044030000}"/>
    <cellStyle name="_International Summary Report.October 2006" xfId="885" xr:uid="{00000000-0005-0000-0000-000045030000}"/>
    <cellStyle name="_INVESTORS " xfId="886" xr:uid="{00000000-0005-0000-0000-000046030000}"/>
    <cellStyle name="_INVESTORS _1" xfId="887" xr:uid="{00000000-0005-0000-0000-000047030000}"/>
    <cellStyle name="_INVESTORS _2005_PRF breakdown_Asia Credit Market" xfId="888" xr:uid="{00000000-0005-0000-0000-000048030000}"/>
    <cellStyle name="_INVESTORS _21 Dec CM Daily" xfId="889" xr:uid="{00000000-0005-0000-0000-000049030000}"/>
    <cellStyle name="_INVESTORS _ASIA SUMMARY-CONSOL2" xfId="890" xr:uid="{00000000-0005-0000-0000-00004A030000}"/>
    <cellStyle name="_INVESTORS _ASIAPnLRisk" xfId="891" xr:uid="{00000000-0005-0000-0000-00004B030000}"/>
    <cellStyle name="_INVESTORS _ASIAPnLRisk_06_0131B" xfId="892" xr:uid="{00000000-0005-0000-0000-00004C030000}"/>
    <cellStyle name="_INVESTORS _ASIAPnLRisk_NEW VERSION_PPL" xfId="893" xr:uid="{00000000-0005-0000-0000-00004D030000}"/>
    <cellStyle name="_INVESTORS _Cash CDO &amp; AI" xfId="894" xr:uid="{00000000-0005-0000-0000-00004E030000}"/>
    <cellStyle name="_INVESTORS _Cash CDO &amp; AI_2005_PRF breakdown_Asia Credit Market" xfId="895" xr:uid="{00000000-0005-0000-0000-00004F030000}"/>
    <cellStyle name="_INVESTORS _Cash CDO &amp; AI_21 Dec CM Daily" xfId="896" xr:uid="{00000000-0005-0000-0000-000050030000}"/>
    <cellStyle name="_INVESTORS _Cash CDO &amp; AI_ASIA SUMMARY-CONSOL2" xfId="897" xr:uid="{00000000-0005-0000-0000-000051030000}"/>
    <cellStyle name="_INVESTORS _Cash CDO &amp; AI_ASIAPnLRisk" xfId="898" xr:uid="{00000000-0005-0000-0000-000052030000}"/>
    <cellStyle name="_INVESTORS _Cash CDO &amp; AI_ASIAPnLRisk_06_0131B" xfId="899" xr:uid="{00000000-0005-0000-0000-000053030000}"/>
    <cellStyle name="_INVESTORS _Cash CDO &amp; AI_ASIAPnLRisk_NEW VERSION_PPL" xfId="900" xr:uid="{00000000-0005-0000-0000-000054030000}"/>
    <cellStyle name="_INVESTORS _Cash CDO &amp; AI_Credit Sales" xfId="901" xr:uid="{00000000-0005-0000-0000-000055030000}"/>
    <cellStyle name="_INVESTORS _Cash CDO &amp; AI_Data" xfId="902" xr:uid="{00000000-0005-0000-0000-000056030000}"/>
    <cellStyle name="_INVESTORS _Cash CDO &amp; AI_SUMMARY" xfId="903" xr:uid="{00000000-0005-0000-0000-000057030000}"/>
    <cellStyle name="_INVESTORS _CORPORATE" xfId="904" xr:uid="{00000000-0005-0000-0000-000058030000}"/>
    <cellStyle name="_INVESTORS _Credit Sales" xfId="905" xr:uid="{00000000-0005-0000-0000-000059030000}"/>
    <cellStyle name="_INVESTORS _CREDIT SUMM" xfId="906" xr:uid="{00000000-0005-0000-0000-00005A030000}"/>
    <cellStyle name="_INVESTORS _CREDIT SUMM_2005_PRF breakdown_Asia Credit Market" xfId="907" xr:uid="{00000000-0005-0000-0000-00005B030000}"/>
    <cellStyle name="_INVESTORS _CREDIT SUMM_21 Dec CM Daily" xfId="908" xr:uid="{00000000-0005-0000-0000-00005C030000}"/>
    <cellStyle name="_INVESTORS _CREDIT SUMM_ASIA SUMMARY-CONSOL2" xfId="909" xr:uid="{00000000-0005-0000-0000-00005D030000}"/>
    <cellStyle name="_INVESTORS _CREDIT SUMM_ASIAPnLRisk" xfId="910" xr:uid="{00000000-0005-0000-0000-00005E030000}"/>
    <cellStyle name="_INVESTORS _CREDIT SUMM_ASIAPnLRisk_06_0131B" xfId="911" xr:uid="{00000000-0005-0000-0000-00005F030000}"/>
    <cellStyle name="_INVESTORS _CREDIT SUMM_ASIAPnLRisk_NEW VERSION_PPL" xfId="912" xr:uid="{00000000-0005-0000-0000-000060030000}"/>
    <cellStyle name="_INVESTORS _CREDIT SUMM_Credit Sales" xfId="913" xr:uid="{00000000-0005-0000-0000-000061030000}"/>
    <cellStyle name="_INVESTORS _CREDIT SUMM_Data" xfId="914" xr:uid="{00000000-0005-0000-0000-000062030000}"/>
    <cellStyle name="_INVESTORS _CREDIT SUMM_SUMMARY" xfId="915" xr:uid="{00000000-0005-0000-0000-000063030000}"/>
    <cellStyle name="_INVESTORS _Data" xfId="916" xr:uid="{00000000-0005-0000-0000-000064030000}"/>
    <cellStyle name="_INVESTORS _HK-PRC" xfId="917" xr:uid="{00000000-0005-0000-0000-000065030000}"/>
    <cellStyle name="_INVESTORS _HK-PRC_2005_PRF breakdown_Asia Credit Market" xfId="918" xr:uid="{00000000-0005-0000-0000-000066030000}"/>
    <cellStyle name="_INVESTORS _HK-PRC_21 Dec CM Daily" xfId="919" xr:uid="{00000000-0005-0000-0000-000067030000}"/>
    <cellStyle name="_INVESTORS _HK-PRC_ASIA SUMMARY-CONSOL2" xfId="920" xr:uid="{00000000-0005-0000-0000-000068030000}"/>
    <cellStyle name="_INVESTORS _HK-PRC_ASIAPnLRisk" xfId="921" xr:uid="{00000000-0005-0000-0000-000069030000}"/>
    <cellStyle name="_INVESTORS _HK-PRC_ASIAPnLRisk_06_0131B" xfId="922" xr:uid="{00000000-0005-0000-0000-00006A030000}"/>
    <cellStyle name="_INVESTORS _HK-PRC_ASIAPnLRisk_NEW VERSION_PPL" xfId="923" xr:uid="{00000000-0005-0000-0000-00006B030000}"/>
    <cellStyle name="_INVESTORS _HK-PRC_Credit Sales" xfId="924" xr:uid="{00000000-0005-0000-0000-00006C030000}"/>
    <cellStyle name="_INVESTORS _HK-PRC_Data" xfId="925" xr:uid="{00000000-0005-0000-0000-00006D030000}"/>
    <cellStyle name="_INVESTORS _HK-PRC_SUMMARY" xfId="926" xr:uid="{00000000-0005-0000-0000-00006E030000}"/>
    <cellStyle name="_INVESTORS _INT DEALLIST" xfId="927" xr:uid="{00000000-0005-0000-0000-00006F030000}"/>
    <cellStyle name="_INVESTORS _INVESTORS " xfId="928" xr:uid="{00000000-0005-0000-0000-000070030000}"/>
    <cellStyle name="_INVESTORS _Recon tracking" xfId="929" xr:uid="{00000000-0005-0000-0000-000071030000}"/>
    <cellStyle name="_INVESTORS _SGP" xfId="930" xr:uid="{00000000-0005-0000-0000-000072030000}"/>
    <cellStyle name="_INVESTORS _SGP_2005_PRF breakdown_Asia Credit Market" xfId="931" xr:uid="{00000000-0005-0000-0000-000073030000}"/>
    <cellStyle name="_INVESTORS _SGP_21 Dec CM Daily" xfId="932" xr:uid="{00000000-0005-0000-0000-000074030000}"/>
    <cellStyle name="_INVESTORS _SGP_ASIA SUMMARY-CONSOL2" xfId="933" xr:uid="{00000000-0005-0000-0000-000075030000}"/>
    <cellStyle name="_INVESTORS _SGP_ASIAPnLRisk" xfId="934" xr:uid="{00000000-0005-0000-0000-000076030000}"/>
    <cellStyle name="_INVESTORS _SGP_ASIAPnLRisk_06_0131B" xfId="935" xr:uid="{00000000-0005-0000-0000-000077030000}"/>
    <cellStyle name="_INVESTORS _SGP_ASIAPnLRisk_NEW VERSION_PPL" xfId="936" xr:uid="{00000000-0005-0000-0000-000078030000}"/>
    <cellStyle name="_INVESTORS _SGP_Credit Sales" xfId="937" xr:uid="{00000000-0005-0000-0000-000079030000}"/>
    <cellStyle name="_INVESTORS _SGP_Data" xfId="938" xr:uid="{00000000-0005-0000-0000-00007A030000}"/>
    <cellStyle name="_INVESTORS _SGP_SUMMARY" xfId="939" xr:uid="{00000000-0005-0000-0000-00007B030000}"/>
    <cellStyle name="_INVESTORS _SSG" xfId="940" xr:uid="{00000000-0005-0000-0000-00007C030000}"/>
    <cellStyle name="_INVESTORS _SSG_2005_PRF breakdown_Asia Credit Market" xfId="941" xr:uid="{00000000-0005-0000-0000-00007D030000}"/>
    <cellStyle name="_INVESTORS _SSG_21 Dec CM Daily" xfId="942" xr:uid="{00000000-0005-0000-0000-00007E030000}"/>
    <cellStyle name="_INVESTORS _SSG_ASIA SUMMARY-CONSOL2" xfId="943" xr:uid="{00000000-0005-0000-0000-00007F030000}"/>
    <cellStyle name="_INVESTORS _SSG_ASIAPnLRisk" xfId="944" xr:uid="{00000000-0005-0000-0000-000080030000}"/>
    <cellStyle name="_INVESTORS _SSG_ASIAPnLRisk_06_0131B" xfId="945" xr:uid="{00000000-0005-0000-0000-000081030000}"/>
    <cellStyle name="_INVESTORS _SSG_ASIAPnLRisk_NEW VERSION_PPL" xfId="946" xr:uid="{00000000-0005-0000-0000-000082030000}"/>
    <cellStyle name="_INVESTORS _SSG_Credit Sales" xfId="947" xr:uid="{00000000-0005-0000-0000-000083030000}"/>
    <cellStyle name="_INVESTORS _SSG_Data" xfId="948" xr:uid="{00000000-0005-0000-0000-000084030000}"/>
    <cellStyle name="_INVESTORS _SSG_SUMMARY" xfId="949" xr:uid="{00000000-0005-0000-0000-000085030000}"/>
    <cellStyle name="_INVESTORS _Staff Mapping" xfId="950" xr:uid="{00000000-0005-0000-0000-000086030000}"/>
    <cellStyle name="_INVESTORS _SUMMARY" xfId="951" xr:uid="{00000000-0005-0000-0000-000087030000}"/>
    <cellStyle name="_IR Slide Format - 4-11-09 (FV)" xfId="952" xr:uid="{00000000-0005-0000-0000-000088030000}"/>
    <cellStyle name="_IR Slide Format - 4-8-09" xfId="953" xr:uid="{00000000-0005-0000-0000-000089030000}"/>
    <cellStyle name="_Jan Month Investment Productivity" xfId="954" xr:uid="{00000000-0005-0000-0000-00008A030000}"/>
    <cellStyle name="_Japan IBC M&amp;A" xfId="955" xr:uid="{00000000-0005-0000-0000-00008B030000}"/>
    <cellStyle name="_JPMC GTI volume comparisons - SEPTEMBER" xfId="956" xr:uid="{00000000-0005-0000-0000-00008C030000}"/>
    <cellStyle name="_June 06 Act FPnl Database v15" xfId="957" xr:uid="{00000000-0005-0000-0000-00008D030000}"/>
    <cellStyle name="_KH Expense Pack - Jan 05" xfId="958" xr:uid="{00000000-0005-0000-0000-00008E030000}"/>
    <cellStyle name="_Latest Exposure Data" xfId="959" xr:uid="{00000000-0005-0000-0000-00008F030000}"/>
    <cellStyle name="_Line Map" xfId="960" xr:uid="{00000000-0005-0000-0000-000090030000}"/>
    <cellStyle name="_Line Map_HC Tracking Feb 07BIUSHI-elee" xfId="961" xr:uid="{00000000-0005-0000-0000-000091030000}"/>
    <cellStyle name="_Liquid Markets and Rates Exotics July 2005 Control meeting" xfId="962" xr:uid="{00000000-0005-0000-0000-000092030000}"/>
    <cellStyle name="_Loan Volume Trend thru Dec 09" xfId="963" xr:uid="{00000000-0005-0000-0000-000093030000}"/>
    <cellStyle name="_Loan Volume Trend thru Mar 09 v1" xfId="964" xr:uid="{00000000-0005-0000-0000-000094030000}"/>
    <cellStyle name="_Loans Final Macro Oct" xfId="965" xr:uid="{00000000-0005-0000-0000-000095030000}"/>
    <cellStyle name="_Loans Macro Summary Jan'09 ME" xfId="966" xr:uid="{00000000-0005-0000-0000-000096030000}"/>
    <cellStyle name="_LOB Template" xfId="967" xr:uid="{00000000-0005-0000-0000-000097030000}"/>
    <cellStyle name="_LOB Template_A" xfId="968" xr:uid="{00000000-0005-0000-0000-000098030000}"/>
    <cellStyle name="_London FX_Detail" xfId="969" xr:uid="{00000000-0005-0000-0000-000099030000}"/>
    <cellStyle name="_MAC VIE Matrix 121305" xfId="970" xr:uid="{00000000-0005-0000-0000-00009A030000}"/>
    <cellStyle name="_MAC VIE Matrix Dec 05_final" xfId="971" xr:uid="{00000000-0005-0000-0000-00009B030000}"/>
    <cellStyle name="_Macro Launch" xfId="972" xr:uid="{00000000-0005-0000-0000-00009C030000}"/>
    <cellStyle name="_Manager Wise P&amp;L Apr05" xfId="973" xr:uid="{00000000-0005-0000-0000-00009D030000}"/>
    <cellStyle name="_Manual Input" xfId="974" xr:uid="{00000000-0005-0000-0000-00009E030000}"/>
    <cellStyle name="_Mar 06 Onwing Attributions v1" xfId="975" xr:uid="{00000000-0005-0000-0000-00009F030000}"/>
    <cellStyle name="_Mar ME adj" xfId="976" xr:uid="{00000000-0005-0000-0000-0000A0030000}"/>
    <cellStyle name="_Market Risk EMR" xfId="977" xr:uid="{00000000-0005-0000-0000-0000A1030000}"/>
    <cellStyle name="_Markets Revenue Nov" xfId="978" xr:uid="{00000000-0005-0000-0000-0000A2030000}"/>
    <cellStyle name="_Markets Revenue Run Rate1" xfId="979" xr:uid="{00000000-0005-0000-0000-0000A3030000}"/>
    <cellStyle name="_May 06 Onwing Attributionv2" xfId="980" xr:uid="{00000000-0005-0000-0000-0000A4030000}"/>
    <cellStyle name="_May Invoices-unlinked" xfId="981" xr:uid="{00000000-0005-0000-0000-0000A5030000}"/>
    <cellStyle name="_MEMO FX OPTION SALES CREDIT" xfId="982" xr:uid="{00000000-0005-0000-0000-0000A6030000}"/>
    <cellStyle name="_MO one-pager" xfId="983" xr:uid="{00000000-0005-0000-0000-0000A7030000}"/>
    <cellStyle name="_MO one-pager_1" xfId="984" xr:uid="{00000000-0005-0000-0000-0000A8030000}"/>
    <cellStyle name="_MO PRF Recon Jan2004 Japan 100204" xfId="985" xr:uid="{00000000-0005-0000-0000-0000A9030000}"/>
    <cellStyle name="_Mockup1024" xfId="986" xr:uid="{00000000-0005-0000-0000-0000AA030000}"/>
    <cellStyle name="_Mockup1024 (version 1)" xfId="987" xr:uid="{00000000-0005-0000-0000-0000AB030000}"/>
    <cellStyle name="_Month-end Pending Date 02-08 v3" xfId="988" xr:uid="{00000000-0005-0000-0000-0000AC030000}"/>
    <cellStyle name="_Mortgage Business Review 04.2005" xfId="989" xr:uid="{00000000-0005-0000-0000-0000AD030000}"/>
    <cellStyle name="_Mortgage Holdings Review 02.2005" xfId="990" xr:uid="{00000000-0005-0000-0000-0000AE030000}"/>
    <cellStyle name="_Multiple" xfId="991" xr:uid="{00000000-0005-0000-0000-0000AF030000}"/>
    <cellStyle name="_Multiple_~1134290" xfId="992" xr:uid="{00000000-0005-0000-0000-0000B0030000}"/>
    <cellStyle name="_Multiple_~3036172" xfId="993" xr:uid="{00000000-0005-0000-0000-0000B1030000}"/>
    <cellStyle name="_Multiple_~7516164" xfId="994" xr:uid="{00000000-0005-0000-0000-0000B2030000}"/>
    <cellStyle name="_Multiple_~9342525" xfId="995" xr:uid="{00000000-0005-0000-0000-0000B3030000}"/>
    <cellStyle name="_Multiple_1 - Pizzi spread rec schedule" xfId="996" xr:uid="{00000000-0005-0000-0000-0000B4030000}"/>
    <cellStyle name="_Multiple_2007 Budget Scenarios v2" xfId="997" xr:uid="{00000000-0005-0000-0000-0000B5030000}"/>
    <cellStyle name="_Multiple_2008 Headcount Plan" xfId="998" xr:uid="{00000000-0005-0000-0000-0000B6030000}"/>
    <cellStyle name="_Multiple_Appendix B" xfId="999" xr:uid="{00000000-0005-0000-0000-0000B7030000}"/>
    <cellStyle name="_Multiple_Aspen Financial Update 3-8-07" xfId="1000" xr:uid="{00000000-0005-0000-0000-0000B8030000}"/>
    <cellStyle name="_Multiple_AutoPrice2000" xfId="1001" xr:uid="{00000000-0005-0000-0000-0000B9030000}"/>
    <cellStyle name="_Multiple_Book1" xfId="1002" xr:uid="{00000000-0005-0000-0000-0000BA030000}"/>
    <cellStyle name="_Multiple_Book4" xfId="1003" xr:uid="{00000000-0005-0000-0000-0000BB030000}"/>
    <cellStyle name="_Multiple_Cancun Budget Presentation PPT Excel Sheets" xfId="1004" xr:uid="{00000000-0005-0000-0000-0000BC030000}"/>
    <cellStyle name="_Multiple_Company Operating Model v24" xfId="1005" xr:uid="{00000000-0005-0000-0000-0000BD030000}"/>
    <cellStyle name="_Multiple_Covenant compliance 11-18-07 v3" xfId="1006" xr:uid="{00000000-0005-0000-0000-0000BE030000}"/>
    <cellStyle name="_Multiple_Covenant compliance 11-19-07 v2" xfId="1007" xr:uid="{00000000-0005-0000-0000-0000BF030000}"/>
    <cellStyle name="_Multiple_Earth holco capital structure" xfId="1008" xr:uid="{00000000-0005-0000-0000-0000C0030000}"/>
    <cellStyle name="_Multiple_Enterprise V10.1 budget input" xfId="1009" xr:uid="{00000000-0005-0000-0000-0000C1030000}"/>
    <cellStyle name="_Multiple_Latest Exposure Data" xfId="1010" xr:uid="{00000000-0005-0000-0000-0000C2030000}"/>
    <cellStyle name="_Multiple_Natural Account vs AMTD v2" xfId="1011" xr:uid="{00000000-0005-0000-0000-0000C3030000}"/>
    <cellStyle name="_Multiple_Q107 Company Estimate 3-29-07" xfId="1012" xr:uid="{00000000-0005-0000-0000-0000C4030000}"/>
    <cellStyle name="_Multiple_Q107 Company Estimate 3-8-07" xfId="1013" xr:uid="{00000000-0005-0000-0000-0000C5030000}"/>
    <cellStyle name="_Multiple_Q207 Forecast" xfId="1014" xr:uid="{00000000-0005-0000-0000-0000C6030000}"/>
    <cellStyle name="_Multiple_Q407 Consolidating Estimate" xfId="1015" xr:uid="{00000000-0005-0000-0000-0000C7030000}"/>
    <cellStyle name="_Multiple_Segment" xfId="1016" xr:uid="{00000000-0005-0000-0000-0000C8030000}"/>
    <cellStyle name="_Multiple_Spread Walk NEW_Budget ENT" xfId="1017" xr:uid="{00000000-0005-0000-0000-0000C9030000}"/>
    <cellStyle name="_Multiple_Valuation Materials_v2" xfId="1018" xr:uid="{00000000-0005-0000-0000-0000CA030000}"/>
    <cellStyle name="_Multiple_Valuation Materials_v6" xfId="1019" xr:uid="{00000000-0005-0000-0000-0000CB030000}"/>
    <cellStyle name="_MultipleSpace" xfId="1020" xr:uid="{00000000-0005-0000-0000-0000CC030000}"/>
    <cellStyle name="_MultipleSpace_~1134290" xfId="1021" xr:uid="{00000000-0005-0000-0000-0000CD030000}"/>
    <cellStyle name="_MultipleSpace_~3036172" xfId="1022" xr:uid="{00000000-0005-0000-0000-0000CE030000}"/>
    <cellStyle name="_MultipleSpace_~7516164" xfId="1023" xr:uid="{00000000-0005-0000-0000-0000CF030000}"/>
    <cellStyle name="_MultipleSpace_~9342525" xfId="1024" xr:uid="{00000000-0005-0000-0000-0000D0030000}"/>
    <cellStyle name="_MultipleSpace_1 - Pizzi spread rec schedule" xfId="1025" xr:uid="{00000000-0005-0000-0000-0000D1030000}"/>
    <cellStyle name="_MultipleSpace_2007 Budget Scenarios v2" xfId="1026" xr:uid="{00000000-0005-0000-0000-0000D2030000}"/>
    <cellStyle name="_MultipleSpace_2008 Headcount Plan" xfId="1027" xr:uid="{00000000-0005-0000-0000-0000D3030000}"/>
    <cellStyle name="_MultipleSpace_Appendix B" xfId="1028" xr:uid="{00000000-0005-0000-0000-0000D4030000}"/>
    <cellStyle name="_MultipleSpace_Aspen Financial Update 3-8-07" xfId="1029" xr:uid="{00000000-0005-0000-0000-0000D5030000}"/>
    <cellStyle name="_MultipleSpace_AutoPrice2000" xfId="1030" xr:uid="{00000000-0005-0000-0000-0000D6030000}"/>
    <cellStyle name="_MultipleSpace_Book1" xfId="1031" xr:uid="{00000000-0005-0000-0000-0000D7030000}"/>
    <cellStyle name="_MultipleSpace_Book4" xfId="1032" xr:uid="{00000000-0005-0000-0000-0000D8030000}"/>
    <cellStyle name="_MultipleSpace_Cancun Budget Presentation PPT Excel Sheets" xfId="1033" xr:uid="{00000000-0005-0000-0000-0000D9030000}"/>
    <cellStyle name="_MultipleSpace_Company Operating Model v24" xfId="1034" xr:uid="{00000000-0005-0000-0000-0000DA030000}"/>
    <cellStyle name="_MultipleSpace_Covenant compliance 11-18-07 v3" xfId="1035" xr:uid="{00000000-0005-0000-0000-0000DB030000}"/>
    <cellStyle name="_MultipleSpace_Covenant compliance 11-19-07 v2" xfId="1036" xr:uid="{00000000-0005-0000-0000-0000DC030000}"/>
    <cellStyle name="_MultipleSpace_Earth holco capital structure" xfId="1037" xr:uid="{00000000-0005-0000-0000-0000DD030000}"/>
    <cellStyle name="_MultipleSpace_Enterprise V10.1 budget input" xfId="1038" xr:uid="{00000000-0005-0000-0000-0000DE030000}"/>
    <cellStyle name="_MultipleSpace_Latest Exposure Data" xfId="1039" xr:uid="{00000000-0005-0000-0000-0000DF030000}"/>
    <cellStyle name="_MultipleSpace_Natural Account vs AMTD v2" xfId="1040" xr:uid="{00000000-0005-0000-0000-0000E0030000}"/>
    <cellStyle name="_MultipleSpace_Q107 Company Estimate 3-29-07" xfId="1041" xr:uid="{00000000-0005-0000-0000-0000E1030000}"/>
    <cellStyle name="_MultipleSpace_Q107 Company Estimate 3-8-07" xfId="1042" xr:uid="{00000000-0005-0000-0000-0000E2030000}"/>
    <cellStyle name="_MultipleSpace_Q207 Forecast" xfId="1043" xr:uid="{00000000-0005-0000-0000-0000E3030000}"/>
    <cellStyle name="_MultipleSpace_Q407 Consolidating Estimate" xfId="1044" xr:uid="{00000000-0005-0000-0000-0000E4030000}"/>
    <cellStyle name="_MultipleSpace_Segment" xfId="1045" xr:uid="{00000000-0005-0000-0000-0000E5030000}"/>
    <cellStyle name="_MultipleSpace_Spread Walk NEW_Budget ENT" xfId="1046" xr:uid="{00000000-0005-0000-0000-0000E6030000}"/>
    <cellStyle name="_MultipleSpace_Valuation Materials_v2" xfId="1047" xr:uid="{00000000-0005-0000-0000-0000E7030000}"/>
    <cellStyle name="_MultipleSpace_Valuation Materials_v6" xfId="1048" xr:uid="{00000000-0005-0000-0000-0000E8030000}"/>
    <cellStyle name="_NA Credit Exotics P&amp;L Dec 05" xfId="1049" xr:uid="{00000000-0005-0000-0000-0000E9030000}"/>
    <cellStyle name="_NA Struct Credit P&amp;L Feb 06" xfId="1050" xr:uid="{00000000-0005-0000-0000-0000EA030000}"/>
    <cellStyle name="_NA Struct Credit P&amp;L Jan 06" xfId="1051" xr:uid="{00000000-0005-0000-0000-0000EB030000}"/>
    <cellStyle name="_NA TRR" xfId="1052" xr:uid="{00000000-0005-0000-0000-0000EC030000}"/>
    <cellStyle name="_NA TRR_A" xfId="1053" xr:uid="{00000000-0005-0000-0000-0000ED030000}"/>
    <cellStyle name="_NACT MAC Delivrables 0306" xfId="1054" xr:uid="{00000000-0005-0000-0000-0000EE030000}"/>
    <cellStyle name="_NARS Control Package August 2005 v2" xfId="1055" xr:uid="{00000000-0005-0000-0000-0000EF030000}"/>
    <cellStyle name="_Natural Account vs AMTD v2" xfId="1056" xr:uid="{00000000-0005-0000-0000-0000F0030000}"/>
    <cellStyle name="_NETPL" xfId="1057" xr:uid="{00000000-0005-0000-0000-0000F1030000}"/>
    <cellStyle name="_NewFormatP&amp;L" xfId="1058" xr:uid="{00000000-0005-0000-0000-0000F2030000}"/>
    <cellStyle name="_NI Schedule 10.24.08 v2" xfId="1059" xr:uid="{00000000-0005-0000-0000-0000F3030000}"/>
    <cellStyle name="_NI Schedule 11.26.08 (MGMT) v3" xfId="1060" xr:uid="{00000000-0005-0000-0000-0000F4030000}"/>
    <cellStyle name="_NII Estimate - Oct" xfId="1061" xr:uid="{00000000-0005-0000-0000-0000F5030000}"/>
    <cellStyle name="_Nov 04" xfId="1062" xr:uid="{00000000-0005-0000-0000-0000F6030000}"/>
    <cellStyle name="_NPA Summary 3-31 (4-10 updates)" xfId="1063" xr:uid="{00000000-0005-0000-0000-0000F7030000}"/>
    <cellStyle name="_NPA Summary 3-31 v3" xfId="1064" xr:uid="{00000000-0005-0000-0000-0000F8030000}"/>
    <cellStyle name="_NPLSv2" xfId="1065" xr:uid="{00000000-0005-0000-0000-0000F9030000}"/>
    <cellStyle name="_oct2005.followups" xfId="1066" xr:uid="{00000000-0005-0000-0000-0000FA030000}"/>
    <cellStyle name="_One time Itemsv3" xfId="1067" xr:uid="{00000000-0005-0000-0000-0000FB030000}"/>
    <cellStyle name="_Online Index GL Split" xfId="1068" xr:uid="{00000000-0005-0000-0000-0000FC030000}"/>
    <cellStyle name="_Outstanding" xfId="1069" xr:uid="{00000000-0005-0000-0000-0000FD030000}"/>
    <cellStyle name="_Outstanding Revenue Tracking Dec 04" xfId="1070" xr:uid="{00000000-0005-0000-0000-0000FE030000}"/>
    <cellStyle name="_Outstanding Revenue Tracking Dec 04_2005_PRF breakdown_Asia Credit Market" xfId="1071" xr:uid="{00000000-0005-0000-0000-0000FF030000}"/>
    <cellStyle name="_Outstanding Revenue Tracking Dec 04_21 Dec CM Daily" xfId="1072" xr:uid="{00000000-0005-0000-0000-000000040000}"/>
    <cellStyle name="_Outstanding Revenue Tracking Dec 04_ASIA SUMMARY-CONSOL2" xfId="1073" xr:uid="{00000000-0005-0000-0000-000001040000}"/>
    <cellStyle name="_Outstanding Revenue Tracking Dec 04_ASIAPnLRisk" xfId="1074" xr:uid="{00000000-0005-0000-0000-000002040000}"/>
    <cellStyle name="_Outstanding Revenue Tracking Dec 04_ASIAPnLRisk_06_0131B" xfId="1075" xr:uid="{00000000-0005-0000-0000-000003040000}"/>
    <cellStyle name="_Outstanding Revenue Tracking Dec 04_ASIAPnLRisk_NEW VERSION_PPL" xfId="1076" xr:uid="{00000000-0005-0000-0000-000004040000}"/>
    <cellStyle name="_Outstanding Revenue Tracking Dec 04_Credit Sales" xfId="1077" xr:uid="{00000000-0005-0000-0000-000005040000}"/>
    <cellStyle name="_Outstanding Revenue Tracking Dec 04_Data" xfId="1078" xr:uid="{00000000-0005-0000-0000-000006040000}"/>
    <cellStyle name="_Outstanding Revenue Tracking Dec 04_SUMMARY" xfId="1079" xr:uid="{00000000-0005-0000-0000-000007040000}"/>
    <cellStyle name="_Outstanding_2005_PRF breakdown_Asia Credit Market" xfId="1080" xr:uid="{00000000-0005-0000-0000-000008040000}"/>
    <cellStyle name="_Outstanding_21 Dec CM Daily" xfId="1081" xr:uid="{00000000-0005-0000-0000-000009040000}"/>
    <cellStyle name="_Outstanding_ASIA SUMMARY-CONSOL2" xfId="1082" xr:uid="{00000000-0005-0000-0000-00000A040000}"/>
    <cellStyle name="_Outstanding_ASIAPnLRisk" xfId="1083" xr:uid="{00000000-0005-0000-0000-00000B040000}"/>
    <cellStyle name="_Outstanding_ASIAPnLRisk_06_0131B" xfId="1084" xr:uid="{00000000-0005-0000-0000-00000C040000}"/>
    <cellStyle name="_Outstanding_ASIAPnLRisk_NEW VERSION_PPL" xfId="1085" xr:uid="{00000000-0005-0000-0000-00000D040000}"/>
    <cellStyle name="_Outstanding_Credit Sales" xfId="1086" xr:uid="{00000000-0005-0000-0000-00000E040000}"/>
    <cellStyle name="_Outstanding_Data" xfId="1087" xr:uid="{00000000-0005-0000-0000-00000F040000}"/>
    <cellStyle name="_Outstanding_SUMMARY" xfId="1088" xr:uid="{00000000-0005-0000-0000-000010040000}"/>
    <cellStyle name="_P 40 EconRiskTrendbyComponent" xfId="1089" xr:uid="{00000000-0005-0000-0000-000011040000}"/>
    <cellStyle name="_P 40 EconRiskTrendbyComponent_July Estimate 08.04.10" xfId="1090" xr:uid="{00000000-0005-0000-0000-000012040000}"/>
    <cellStyle name="_P&amp;L by entity" xfId="1091" xr:uid="{00000000-0005-0000-0000-000013040000}"/>
    <cellStyle name="_P&amp;L(Value)_Round 2" xfId="1092" xr:uid="{00000000-0005-0000-0000-000014040000}"/>
    <cellStyle name="_P2 IncStat" xfId="1093" xr:uid="{00000000-0005-0000-0000-000015040000}"/>
    <cellStyle name="_Percent" xfId="1094" xr:uid="{00000000-0005-0000-0000-000016040000}"/>
    <cellStyle name="_PercentReal" xfId="1095" xr:uid="{00000000-0005-0000-0000-000017040000}"/>
    <cellStyle name="_PercentSpace" xfId="1096" xr:uid="{00000000-0005-0000-0000-000018040000}"/>
    <cellStyle name="_Pipeline Tracker" xfId="1097" xr:uid="{00000000-0005-0000-0000-000019040000}"/>
    <cellStyle name="_PL Macro - Current" xfId="1098" xr:uid="{00000000-0005-0000-0000-00001A040000}"/>
    <cellStyle name="_PL Macro - October final" xfId="1099" xr:uid="{00000000-0005-0000-0000-00001B040000}"/>
    <cellStyle name="_PL Macro - September Temp" xfId="1100" xr:uid="{00000000-0005-0000-0000-00001C040000}"/>
    <cellStyle name="_Plan 2005-C&amp;R" xfId="1101" xr:uid="{00000000-0005-0000-0000-00001D040000}"/>
    <cellStyle name="_Plan Summary 9 24 07v2 (Equities)" xfId="1102" xr:uid="{00000000-0005-0000-0000-00001E040000}"/>
    <cellStyle name="_Plan_2006_HK(1)" xfId="1103" xr:uid="{00000000-0005-0000-0000-00001F040000}"/>
    <cellStyle name="_Plan_2006_Sing(1)" xfId="1104" xr:uid="{00000000-0005-0000-0000-000020040000}"/>
    <cellStyle name="_portfolio" xfId="1105" xr:uid="{00000000-0005-0000-0000-000021040000}"/>
    <cellStyle name="_portfolio_Data" xfId="1106" xr:uid="{00000000-0005-0000-0000-000022040000}"/>
    <cellStyle name="_portfolio_Summary" xfId="1107" xr:uid="{00000000-0005-0000-0000-000023040000}"/>
    <cellStyle name="_product pricing 081805" xfId="1108" xr:uid="{00000000-0005-0000-0000-000024040000}"/>
    <cellStyle name="_product pricing 081805_Book1" xfId="1109" xr:uid="{00000000-0005-0000-0000-000025040000}"/>
    <cellStyle name="_product pricing 081805_File 1 - 2008 &amp; 2009 MYF - Board Pre-read View 7.24.08" xfId="1110" xr:uid="{00000000-0005-0000-0000-000026040000}"/>
    <cellStyle name="_product pricing 081805_Supplemental Sheets 5.20.09" xfId="1111" xr:uid="{00000000-0005-0000-0000-000027040000}"/>
    <cellStyle name="_Provision required Oct" xfId="1112" xr:uid="{00000000-0005-0000-0000-000028040000}"/>
    <cellStyle name="_Q1 2009 IB Credit Costs Q109 (FV)" xfId="1113" xr:uid="{00000000-0005-0000-0000-000029040000}"/>
    <cellStyle name="_Q1 IC - Tracker Update" xfId="1114" xr:uid="{00000000-0005-0000-0000-00002A040000}"/>
    <cellStyle name="_Q107 Company Estimate 3-29-07" xfId="1115" xr:uid="{00000000-0005-0000-0000-00002B040000}"/>
    <cellStyle name="_Q107 Company Estimate 3-8-07" xfId="1116" xr:uid="{00000000-0005-0000-0000-00002C040000}"/>
    <cellStyle name="_Q2" xfId="1117" xr:uid="{00000000-0005-0000-0000-00002D040000}"/>
    <cellStyle name="_Q207 Forecast" xfId="1118" xr:uid="{00000000-0005-0000-0000-00002E040000}"/>
    <cellStyle name="_Q3 2009 IB Credit Costs Package - Oct 1st v2" xfId="1119" xr:uid="{00000000-0005-0000-0000-00002F040000}"/>
    <cellStyle name="_Q3 VIE Revenue" xfId="1120" xr:uid="{00000000-0005-0000-0000-000030040000}"/>
    <cellStyle name="_Q4 VIE Revenue" xfId="1121" xr:uid="{00000000-0005-0000-0000-000031040000}"/>
    <cellStyle name="_Q407 Consolidating Estimate" xfId="1122" xr:uid="{00000000-0005-0000-0000-000032040000}"/>
    <cellStyle name="_QA" xfId="1123" xr:uid="{00000000-0005-0000-0000-000033040000}"/>
    <cellStyle name="_QA.investigating" xfId="1124" xr:uid="{00000000-0005-0000-0000-000034040000}"/>
    <cellStyle name="_Recon" xfId="1125" xr:uid="{00000000-0005-0000-0000-000035040000}"/>
    <cellStyle name="_Recon tracking" xfId="1126" xr:uid="{00000000-0005-0000-0000-000036040000}"/>
    <cellStyle name="_Remove SM flag y Jan" xfId="1127" xr:uid="{00000000-0005-0000-0000-000037040000}"/>
    <cellStyle name="_Report110905V1" xfId="1128" xr:uid="{00000000-0005-0000-0000-000038040000}"/>
    <cellStyle name="_Report110905V1_FY Forecast Tracker 9.25.08 v3" xfId="1129" xr:uid="{00000000-0005-0000-0000-000039040000}"/>
    <cellStyle name="_Report110905V1_IB Fcst Variance 1-23-09" xfId="1130" xr:uid="{00000000-0005-0000-0000-00003A040000}"/>
    <cellStyle name="_Report110905V1_IB Mgmt Fcst 1-23-09" xfId="1131" xr:uid="{00000000-0005-0000-0000-00003B040000}"/>
    <cellStyle name="_Report110905V1_NI Schedule 10.24.08 v2" xfId="1132" xr:uid="{00000000-0005-0000-0000-00003C040000}"/>
    <cellStyle name="_Report110905V1_NI Schedule 11.26.08 (MGMT) v3" xfId="1133" xr:uid="{00000000-0005-0000-0000-00003D040000}"/>
    <cellStyle name="_Report110905V1_One time Itemsv3" xfId="1134" xr:uid="{00000000-0005-0000-0000-00003E040000}"/>
    <cellStyle name="_Report110905V1_Supplemental Sheets 5.20.09" xfId="1135" xr:uid="{00000000-0005-0000-0000-00003F040000}"/>
    <cellStyle name="_Report110905V1_Tracker 2Q  5.12.08" xfId="1136" xr:uid="{00000000-0005-0000-0000-000040040000}"/>
    <cellStyle name="_Report110905V1_Tracker 2Q  5.15.08" xfId="1137" xr:uid="{00000000-0005-0000-0000-000041040000}"/>
    <cellStyle name="_Reported Net Income walk to adj PTPIC" xfId="1138" xr:uid="{00000000-0005-0000-0000-000042040000}"/>
    <cellStyle name="_Restricted_PPL_28Jun" xfId="1139" xr:uid="{00000000-0005-0000-0000-000043040000}"/>
    <cellStyle name="_Restricted_PrdRpt_12 Jun" xfId="1140" xr:uid="{00000000-0005-0000-0000-000044040000}"/>
    <cellStyle name="_RMBS_ABS Template (Alternative)_4Q08 Waterfall" xfId="1141" xr:uid="{00000000-0005-0000-0000-000045040000}"/>
    <cellStyle name="_RMBS_ABS_Request" xfId="1142" xr:uid="{00000000-0005-0000-0000-000046040000}"/>
    <cellStyle name="_Round 1 Summary FINAL 28 Sep" xfId="1143" xr:uid="{00000000-0005-0000-0000-000047040000}"/>
    <cellStyle name="_Round 2 final with 5 December EARs" xfId="1144" xr:uid="{00000000-0005-0000-0000-000048040000}"/>
    <cellStyle name="_Round 2 final with 5 December EARs_Book1" xfId="1145" xr:uid="{00000000-0005-0000-0000-000049040000}"/>
    <cellStyle name="_Round 2 final with 5 December EARs_File 1 - 2008 &amp; 2009 MYF - Board Pre-read View 7.24.08" xfId="1146" xr:uid="{00000000-0005-0000-0000-00004A040000}"/>
    <cellStyle name="_Round 2 final with 5 December EARs_Supplemental Sheets 5.20.09" xfId="1147" xr:uid="{00000000-0005-0000-0000-00004B040000}"/>
    <cellStyle name="_Round 2 final with 5 December EARs_v2" xfId="1148" xr:uid="{00000000-0005-0000-0000-00004C040000}"/>
    <cellStyle name="_Round2ExecSum_and_byLOB" xfId="1149" xr:uid="{00000000-0005-0000-0000-00004D040000}"/>
    <cellStyle name="_RT_AUS_Plan 2006" xfId="1150" xr:uid="{00000000-0005-0000-0000-00004E040000}"/>
    <cellStyle name="_RWA schedule for MAC" xfId="1151" xr:uid="{00000000-0005-0000-0000-00004F040000}"/>
    <cellStyle name="_RWA.credit.2005" xfId="1152" xr:uid="{00000000-0005-0000-0000-000050040000}"/>
    <cellStyle name="_SAA Agency Floaters" xfId="1153" xr:uid="{00000000-0005-0000-0000-000051040000}"/>
    <cellStyle name="_SAA Agency Floaters_A" xfId="1154" xr:uid="{00000000-0005-0000-0000-000052040000}"/>
    <cellStyle name="_SAA Agency IO" xfId="1155" xr:uid="{00000000-0005-0000-0000-000053040000}"/>
    <cellStyle name="_SAA Agency IO_A" xfId="1156" xr:uid="{00000000-0005-0000-0000-000054040000}"/>
    <cellStyle name="_SAA CLO" xfId="1157" xr:uid="{00000000-0005-0000-0000-000055040000}"/>
    <cellStyle name="_SAA CLO_A" xfId="1158" xr:uid="{00000000-0005-0000-0000-000056040000}"/>
    <cellStyle name="_SALES REVENUE SHARING" xfId="1159" xr:uid="{00000000-0005-0000-0000-000057040000}"/>
    <cellStyle name="_Sample Model Portfolio 2005-0527" xfId="1160" xr:uid="{00000000-0005-0000-0000-000058040000}"/>
    <cellStyle name="_Sample Model Portfolio 2005-0527_Data" xfId="1161" xr:uid="{00000000-0005-0000-0000-000059040000}"/>
    <cellStyle name="_Sample Model Portfolio 2005-0527_Summary" xfId="1162" xr:uid="{00000000-0005-0000-0000-00005A040000}"/>
    <cellStyle name="_schedules for IC Presentation_v4" xfId="1163" xr:uid="{00000000-0005-0000-0000-00005B040000}"/>
    <cellStyle name="_Sec Prod Control Package October 2005" xfId="1164" xr:uid="{00000000-0005-0000-0000-00005C040000}"/>
    <cellStyle name="_Securitized Prod Control Package February 2006" xfId="1165" xr:uid="{00000000-0005-0000-0000-00005D040000}"/>
    <cellStyle name="_Securitized Products KPI Submission - December ME 2005" xfId="1166" xr:uid="{00000000-0005-0000-0000-00005E040000}"/>
    <cellStyle name="_Securitized Products Risk Event Stats 2005" xfId="1167" xr:uid="{00000000-0005-0000-0000-00005F040000}"/>
    <cellStyle name="_Securitized Products Risk Event Stats 2005 - Dec 2005" xfId="1168" xr:uid="{00000000-0005-0000-0000-000060040000}"/>
    <cellStyle name="_Securitized Products Risk Event Stats 2005 - Nov 2005" xfId="1169" xr:uid="{00000000-0005-0000-0000-000061040000}"/>
    <cellStyle name="_Securitized Products Risk Event Stats 2006 - April 2006" xfId="1170" xr:uid="{00000000-0005-0000-0000-000062040000}"/>
    <cellStyle name="_Securitized Products Risk Event Stats 2006 - Feb 2006" xfId="1171" xr:uid="{00000000-0005-0000-0000-000063040000}"/>
    <cellStyle name="_Securitized Products Risk Event Stats 2006 - Jan 2006" xfId="1172" xr:uid="{00000000-0005-0000-0000-000064040000}"/>
    <cellStyle name="_Securitized Products Risk Event Stats 2006 - March 2006" xfId="1173" xr:uid="{00000000-0005-0000-0000-000065040000}"/>
    <cellStyle name="_Securitized Products Risk Event Stats 2006 - May 2006" xfId="1174" xr:uid="{00000000-0005-0000-0000-000066040000}"/>
    <cellStyle name="_Securitzed Products KPI Submission - April 2006" xfId="1175" xr:uid="{00000000-0005-0000-0000-000067040000}"/>
    <cellStyle name="_Securitzed Products KPI Submission - February 2006" xfId="1176" xr:uid="{00000000-0005-0000-0000-000068040000}"/>
    <cellStyle name="_Securitzed Products KPI Submission - January 2006" xfId="1177" xr:uid="{00000000-0005-0000-0000-000069040000}"/>
    <cellStyle name="_Securitzed Products KPI Submission - March 2006" xfId="1178" xr:uid="{00000000-0005-0000-0000-00006A040000}"/>
    <cellStyle name="_Securitzed Products KPI Submission - May 2006" xfId="1179" xr:uid="{00000000-0005-0000-0000-00006B040000}"/>
    <cellStyle name="_Segment" xfId="1180" xr:uid="{00000000-0005-0000-0000-00006C040000}"/>
    <cellStyle name="_SGP" xfId="1181" xr:uid="{00000000-0005-0000-0000-00006D040000}"/>
    <cellStyle name="_SGP_1" xfId="1182" xr:uid="{00000000-0005-0000-0000-00006E040000}"/>
    <cellStyle name="_SGP_1_2005_PRF breakdown_Asia Credit Market" xfId="1183" xr:uid="{00000000-0005-0000-0000-00006F040000}"/>
    <cellStyle name="_SGP_1_21 Dec CM Daily" xfId="1184" xr:uid="{00000000-0005-0000-0000-000070040000}"/>
    <cellStyle name="_SGP_1_ASIA SUMMARY-CONSOL2" xfId="1185" xr:uid="{00000000-0005-0000-0000-000071040000}"/>
    <cellStyle name="_SGP_1_ASIAPnLRisk" xfId="1186" xr:uid="{00000000-0005-0000-0000-000072040000}"/>
    <cellStyle name="_SGP_1_ASIAPnLRisk_06_0131B" xfId="1187" xr:uid="{00000000-0005-0000-0000-000073040000}"/>
    <cellStyle name="_SGP_1_ASIAPnLRisk_NEW VERSION_PPL" xfId="1188" xr:uid="{00000000-0005-0000-0000-000074040000}"/>
    <cellStyle name="_SGP_1_Credit Sales" xfId="1189" xr:uid="{00000000-0005-0000-0000-000075040000}"/>
    <cellStyle name="_SGP_1_Data" xfId="1190" xr:uid="{00000000-0005-0000-0000-000076040000}"/>
    <cellStyle name="_SGP_1_SUMMARY" xfId="1191" xr:uid="{00000000-0005-0000-0000-000077040000}"/>
    <cellStyle name="_SGP_2" xfId="1192" xr:uid="{00000000-0005-0000-0000-000078040000}"/>
    <cellStyle name="_SGP_2005_PRF breakdown_Asia Credit Market" xfId="1193" xr:uid="{00000000-0005-0000-0000-000079040000}"/>
    <cellStyle name="_SGP_21 Dec CM Daily" xfId="1194" xr:uid="{00000000-0005-0000-0000-00007A040000}"/>
    <cellStyle name="_SGP_ASIA SUMMARY-CONSOL2" xfId="1195" xr:uid="{00000000-0005-0000-0000-00007B040000}"/>
    <cellStyle name="_SGP_ASIAPnLRisk" xfId="1196" xr:uid="{00000000-0005-0000-0000-00007C040000}"/>
    <cellStyle name="_SGP_ASIAPnLRisk_06_0131B" xfId="1197" xr:uid="{00000000-0005-0000-0000-00007D040000}"/>
    <cellStyle name="_SGP_ASIAPnLRisk_NEW VERSION_PPL" xfId="1198" xr:uid="{00000000-0005-0000-0000-00007E040000}"/>
    <cellStyle name="_SGP_Cash CDO &amp; AI" xfId="1199" xr:uid="{00000000-0005-0000-0000-00007F040000}"/>
    <cellStyle name="_SGP_Cash CDO &amp; AI_2005_PRF breakdown_Asia Credit Market" xfId="1200" xr:uid="{00000000-0005-0000-0000-000080040000}"/>
    <cellStyle name="_SGP_Cash CDO &amp; AI_21 Dec CM Daily" xfId="1201" xr:uid="{00000000-0005-0000-0000-000081040000}"/>
    <cellStyle name="_SGP_Cash CDO &amp; AI_ASIA SUMMARY-CONSOL2" xfId="1202" xr:uid="{00000000-0005-0000-0000-000082040000}"/>
    <cellStyle name="_SGP_Cash CDO &amp; AI_ASIAPnLRisk" xfId="1203" xr:uid="{00000000-0005-0000-0000-000083040000}"/>
    <cellStyle name="_SGP_Cash CDO &amp; AI_ASIAPnLRisk_06_0131B" xfId="1204" xr:uid="{00000000-0005-0000-0000-000084040000}"/>
    <cellStyle name="_SGP_Cash CDO &amp; AI_ASIAPnLRisk_NEW VERSION_PPL" xfId="1205" xr:uid="{00000000-0005-0000-0000-000085040000}"/>
    <cellStyle name="_SGP_Cash CDO &amp; AI_Credit Sales" xfId="1206" xr:uid="{00000000-0005-0000-0000-000086040000}"/>
    <cellStyle name="_SGP_Cash CDO &amp; AI_Data" xfId="1207" xr:uid="{00000000-0005-0000-0000-000087040000}"/>
    <cellStyle name="_SGP_Cash CDO &amp; AI_SUMMARY" xfId="1208" xr:uid="{00000000-0005-0000-0000-000088040000}"/>
    <cellStyle name="_SGP_CORPORATE" xfId="1209" xr:uid="{00000000-0005-0000-0000-000089040000}"/>
    <cellStyle name="_SGP_Credit Sales" xfId="1210" xr:uid="{00000000-0005-0000-0000-00008A040000}"/>
    <cellStyle name="_SGP_CREDIT SUMM" xfId="1211" xr:uid="{00000000-0005-0000-0000-00008B040000}"/>
    <cellStyle name="_SGP_CREDIT SUMM_2005_PRF breakdown_Asia Credit Market" xfId="1212" xr:uid="{00000000-0005-0000-0000-00008C040000}"/>
    <cellStyle name="_SGP_CREDIT SUMM_21 Dec CM Daily" xfId="1213" xr:uid="{00000000-0005-0000-0000-00008D040000}"/>
    <cellStyle name="_SGP_CREDIT SUMM_ASIA SUMMARY-CONSOL2" xfId="1214" xr:uid="{00000000-0005-0000-0000-00008E040000}"/>
    <cellStyle name="_SGP_CREDIT SUMM_ASIAPnLRisk" xfId="1215" xr:uid="{00000000-0005-0000-0000-00008F040000}"/>
    <cellStyle name="_SGP_CREDIT SUMM_ASIAPnLRisk_06_0131B" xfId="1216" xr:uid="{00000000-0005-0000-0000-000090040000}"/>
    <cellStyle name="_SGP_CREDIT SUMM_ASIAPnLRisk_NEW VERSION_PPL" xfId="1217" xr:uid="{00000000-0005-0000-0000-000091040000}"/>
    <cellStyle name="_SGP_CREDIT SUMM_Credit Sales" xfId="1218" xr:uid="{00000000-0005-0000-0000-000092040000}"/>
    <cellStyle name="_SGP_CREDIT SUMM_Data" xfId="1219" xr:uid="{00000000-0005-0000-0000-000093040000}"/>
    <cellStyle name="_SGP_CREDIT SUMM_SUMMARY" xfId="1220" xr:uid="{00000000-0005-0000-0000-000094040000}"/>
    <cellStyle name="_SGP_Data" xfId="1221" xr:uid="{00000000-0005-0000-0000-000095040000}"/>
    <cellStyle name="_SGP_HK-PRC" xfId="1222" xr:uid="{00000000-0005-0000-0000-000096040000}"/>
    <cellStyle name="_SGP_HK-PRC_2005_PRF breakdown_Asia Credit Market" xfId="1223" xr:uid="{00000000-0005-0000-0000-000097040000}"/>
    <cellStyle name="_SGP_HK-PRC_21 Dec CM Daily" xfId="1224" xr:uid="{00000000-0005-0000-0000-000098040000}"/>
    <cellStyle name="_SGP_HK-PRC_ASIA SUMMARY-CONSOL2" xfId="1225" xr:uid="{00000000-0005-0000-0000-000099040000}"/>
    <cellStyle name="_SGP_HK-PRC_ASIAPnLRisk" xfId="1226" xr:uid="{00000000-0005-0000-0000-00009A040000}"/>
    <cellStyle name="_SGP_HK-PRC_ASIAPnLRisk_06_0131B" xfId="1227" xr:uid="{00000000-0005-0000-0000-00009B040000}"/>
    <cellStyle name="_SGP_HK-PRC_ASIAPnLRisk_NEW VERSION_PPL" xfId="1228" xr:uid="{00000000-0005-0000-0000-00009C040000}"/>
    <cellStyle name="_SGP_HK-PRC_Credit Sales" xfId="1229" xr:uid="{00000000-0005-0000-0000-00009D040000}"/>
    <cellStyle name="_SGP_HK-PRC_Data" xfId="1230" xr:uid="{00000000-0005-0000-0000-00009E040000}"/>
    <cellStyle name="_SGP_HK-PRC_SUMMARY" xfId="1231" xr:uid="{00000000-0005-0000-0000-00009F040000}"/>
    <cellStyle name="_SGP_INT DEALLIST" xfId="1232" xr:uid="{00000000-0005-0000-0000-0000A0040000}"/>
    <cellStyle name="_SGP_INVESTORS " xfId="1233" xr:uid="{00000000-0005-0000-0000-0000A1040000}"/>
    <cellStyle name="_SGP_Recon tracking" xfId="1234" xr:uid="{00000000-0005-0000-0000-0000A2040000}"/>
    <cellStyle name="_SGP_SGP" xfId="1235" xr:uid="{00000000-0005-0000-0000-0000A3040000}"/>
    <cellStyle name="_SGP_SGP_2005_PRF breakdown_Asia Credit Market" xfId="1236" xr:uid="{00000000-0005-0000-0000-0000A4040000}"/>
    <cellStyle name="_SGP_SGP_21 Dec CM Daily" xfId="1237" xr:uid="{00000000-0005-0000-0000-0000A5040000}"/>
    <cellStyle name="_SGP_SGP_ASIA SUMMARY-CONSOL2" xfId="1238" xr:uid="{00000000-0005-0000-0000-0000A6040000}"/>
    <cellStyle name="_SGP_SGP_ASIAPnLRisk" xfId="1239" xr:uid="{00000000-0005-0000-0000-0000A7040000}"/>
    <cellStyle name="_SGP_SGP_ASIAPnLRisk_06_0131B" xfId="1240" xr:uid="{00000000-0005-0000-0000-0000A8040000}"/>
    <cellStyle name="_SGP_SGP_ASIAPnLRisk_NEW VERSION_PPL" xfId="1241" xr:uid="{00000000-0005-0000-0000-0000A9040000}"/>
    <cellStyle name="_SGP_SGP_Credit Sales" xfId="1242" xr:uid="{00000000-0005-0000-0000-0000AA040000}"/>
    <cellStyle name="_SGP_SGP_Data" xfId="1243" xr:uid="{00000000-0005-0000-0000-0000AB040000}"/>
    <cellStyle name="_SGP_SGP_SUMMARY" xfId="1244" xr:uid="{00000000-0005-0000-0000-0000AC040000}"/>
    <cellStyle name="_SGP_SSG" xfId="1245" xr:uid="{00000000-0005-0000-0000-0000AD040000}"/>
    <cellStyle name="_SGP_SSG_2005_PRF breakdown_Asia Credit Market" xfId="1246" xr:uid="{00000000-0005-0000-0000-0000AE040000}"/>
    <cellStyle name="_SGP_SSG_21 Dec CM Daily" xfId="1247" xr:uid="{00000000-0005-0000-0000-0000AF040000}"/>
    <cellStyle name="_SGP_SSG_ASIA SUMMARY-CONSOL2" xfId="1248" xr:uid="{00000000-0005-0000-0000-0000B0040000}"/>
    <cellStyle name="_SGP_SSG_ASIAPnLRisk" xfId="1249" xr:uid="{00000000-0005-0000-0000-0000B1040000}"/>
    <cellStyle name="_SGP_SSG_ASIAPnLRisk_06_0131B" xfId="1250" xr:uid="{00000000-0005-0000-0000-0000B2040000}"/>
    <cellStyle name="_SGP_SSG_ASIAPnLRisk_NEW VERSION_PPL" xfId="1251" xr:uid="{00000000-0005-0000-0000-0000B3040000}"/>
    <cellStyle name="_SGP_SSG_Credit Sales" xfId="1252" xr:uid="{00000000-0005-0000-0000-0000B4040000}"/>
    <cellStyle name="_SGP_SSG_Data" xfId="1253" xr:uid="{00000000-0005-0000-0000-0000B5040000}"/>
    <cellStyle name="_SGP_SSG_SUMMARY" xfId="1254" xr:uid="{00000000-0005-0000-0000-0000B6040000}"/>
    <cellStyle name="_SGP_Staff Mapping" xfId="1255" xr:uid="{00000000-0005-0000-0000-0000B7040000}"/>
    <cellStyle name="_SGP_SUMMARY" xfId="1256" xr:uid="{00000000-0005-0000-0000-0000B8040000}"/>
    <cellStyle name="_Sheet1" xfId="1257" xr:uid="{00000000-0005-0000-0000-0000B9040000}"/>
    <cellStyle name="_Sheet1_~5254638" xfId="1258" xr:uid="{00000000-0005-0000-0000-0000BA040000}"/>
    <cellStyle name="_Sheet1_1" xfId="1259" xr:uid="{00000000-0005-0000-0000-0000BB040000}"/>
    <cellStyle name="_Sheet1_1_Cash IC Reductions 1H09 Expected vs Outlook 5.20.09" xfId="1260" xr:uid="{00000000-0005-0000-0000-0000BC040000}"/>
    <cellStyle name="_Sheet1_1_Data" xfId="1261" xr:uid="{00000000-0005-0000-0000-0000BD040000}"/>
    <cellStyle name="_Sheet1_1_IB Forecast 05.14.09 BD10 2Q" xfId="1262" xr:uid="{00000000-0005-0000-0000-0000BE040000}"/>
    <cellStyle name="_Sheet1_1_Sheet2" xfId="1263" xr:uid="{00000000-0005-0000-0000-0000BF040000}"/>
    <cellStyle name="_Sheet1_1_Summary" xfId="1264" xr:uid="{00000000-0005-0000-0000-0000C0040000}"/>
    <cellStyle name="_Sheet1_2005_PRF breakdown_Asia Credit Market" xfId="1265" xr:uid="{00000000-0005-0000-0000-0000C1040000}"/>
    <cellStyle name="_Sheet1_2008 HC Baseline - Energy" xfId="1266" xr:uid="{00000000-0005-0000-0000-0000C2040000}"/>
    <cellStyle name="_Sheet1_21 Dec CM Daily" xfId="1267" xr:uid="{00000000-0005-0000-0000-0000C3040000}"/>
    <cellStyle name="_Sheet1_Americas Emerging Markets Plan 08 Template v1.17" xfId="1268" xr:uid="{00000000-0005-0000-0000-0000C4040000}"/>
    <cellStyle name="_Sheet1_ASIA Emerging Market Plan 08 Templatev1.1" xfId="1269" xr:uid="{00000000-0005-0000-0000-0000C5040000}"/>
    <cellStyle name="_Sheet1_ASIA SUMMARY-CONSOL2" xfId="1270" xr:uid="{00000000-0005-0000-0000-0000C6040000}"/>
    <cellStyle name="_Sheet1_ASIAPnLRisk" xfId="1271" xr:uid="{00000000-0005-0000-0000-0000C7040000}"/>
    <cellStyle name="_Sheet1_ASIAPnLRisk_06_0131B" xfId="1272" xr:uid="{00000000-0005-0000-0000-0000C8040000}"/>
    <cellStyle name="_Sheet1_ASIAPnLRisk_NEW VERSION_PPL" xfId="1273" xr:uid="{00000000-0005-0000-0000-0000C9040000}"/>
    <cellStyle name="_Sheet1_Cash CDO &amp; AI" xfId="1274" xr:uid="{00000000-0005-0000-0000-0000CA040000}"/>
    <cellStyle name="_Sheet1_Cash CDO &amp; AI_2005_PRF breakdown_Asia Credit Market" xfId="1275" xr:uid="{00000000-0005-0000-0000-0000CB040000}"/>
    <cellStyle name="_Sheet1_Cash CDO &amp; AI_21 Dec CM Daily" xfId="1276" xr:uid="{00000000-0005-0000-0000-0000CC040000}"/>
    <cellStyle name="_Sheet1_Cash CDO &amp; AI_ASIA SUMMARY-CONSOL2" xfId="1277" xr:uid="{00000000-0005-0000-0000-0000CD040000}"/>
    <cellStyle name="_Sheet1_Cash CDO &amp; AI_ASIAPnLRisk" xfId="1278" xr:uid="{00000000-0005-0000-0000-0000CE040000}"/>
    <cellStyle name="_Sheet1_Cash CDO &amp; AI_ASIAPnLRisk_06_0131B" xfId="1279" xr:uid="{00000000-0005-0000-0000-0000CF040000}"/>
    <cellStyle name="_Sheet1_Cash CDO &amp; AI_ASIAPnLRisk_NEW VERSION_PPL" xfId="1280" xr:uid="{00000000-0005-0000-0000-0000D0040000}"/>
    <cellStyle name="_Sheet1_Cash CDO &amp; AI_Credit Sales" xfId="1281" xr:uid="{00000000-0005-0000-0000-0000D1040000}"/>
    <cellStyle name="_Sheet1_Cash CDO &amp; AI_Data" xfId="1282" xr:uid="{00000000-0005-0000-0000-0000D2040000}"/>
    <cellStyle name="_Sheet1_Cash CDO &amp; AI_SUMMARY" xfId="1283" xr:uid="{00000000-0005-0000-0000-0000D3040000}"/>
    <cellStyle name="_Sheet1_Cash IC Reductions 1H09 Expected vs Outlook 5.20.09" xfId="1284" xr:uid="{00000000-0005-0000-0000-0000D4040000}"/>
    <cellStyle name="_Sheet1_CORPORATE" xfId="1285" xr:uid="{00000000-0005-0000-0000-0000D5040000}"/>
    <cellStyle name="_Sheet1_Credit Sales" xfId="1286" xr:uid="{00000000-0005-0000-0000-0000D6040000}"/>
    <cellStyle name="_Sheet1_CREDIT SUMM" xfId="1287" xr:uid="{00000000-0005-0000-0000-0000D7040000}"/>
    <cellStyle name="_Sheet1_CREDIT SUMM_2005_PRF breakdown_Asia Credit Market" xfId="1288" xr:uid="{00000000-0005-0000-0000-0000D8040000}"/>
    <cellStyle name="_Sheet1_CREDIT SUMM_21 Dec CM Daily" xfId="1289" xr:uid="{00000000-0005-0000-0000-0000D9040000}"/>
    <cellStyle name="_Sheet1_CREDIT SUMM_ASIA SUMMARY-CONSOL2" xfId="1290" xr:uid="{00000000-0005-0000-0000-0000DA040000}"/>
    <cellStyle name="_Sheet1_CREDIT SUMM_ASIAPnLRisk" xfId="1291" xr:uid="{00000000-0005-0000-0000-0000DB040000}"/>
    <cellStyle name="_Sheet1_CREDIT SUMM_ASIAPnLRisk_06_0131B" xfId="1292" xr:uid="{00000000-0005-0000-0000-0000DC040000}"/>
    <cellStyle name="_Sheet1_CREDIT SUMM_ASIAPnLRisk_NEW VERSION_PPL" xfId="1293" xr:uid="{00000000-0005-0000-0000-0000DD040000}"/>
    <cellStyle name="_Sheet1_CREDIT SUMM_Credit Sales" xfId="1294" xr:uid="{00000000-0005-0000-0000-0000DE040000}"/>
    <cellStyle name="_Sheet1_CREDIT SUMM_Data" xfId="1295" xr:uid="{00000000-0005-0000-0000-0000DF040000}"/>
    <cellStyle name="_Sheet1_CREDIT SUMM_SUMMARY" xfId="1296" xr:uid="{00000000-0005-0000-0000-0000E0040000}"/>
    <cellStyle name="_Sheet1_Data" xfId="1297" xr:uid="{00000000-0005-0000-0000-0000E1040000}"/>
    <cellStyle name="_Sheet1_Data_Summary" xfId="1298" xr:uid="{00000000-0005-0000-0000-0000E2040000}"/>
    <cellStyle name="_Sheet1_EMEA Emerging Market Plan 08 Templatev1.17" xfId="1299" xr:uid="{00000000-0005-0000-0000-0000E3040000}"/>
    <cellStyle name="_Sheet1_Energy~Softs" xfId="1300" xr:uid="{00000000-0005-0000-0000-0000E4040000}"/>
    <cellStyle name="_Sheet1_Exotics Pyramid" xfId="1301" xr:uid="{00000000-0005-0000-0000-0000E5040000}"/>
    <cellStyle name="_Sheet1_GCCG templates" xfId="1302" xr:uid="{00000000-0005-0000-0000-0000E6040000}"/>
    <cellStyle name="_Sheet1_Global Exotics" xfId="1303" xr:uid="{00000000-0005-0000-0000-0000E7040000}"/>
    <cellStyle name="_Sheet1_HC Tracking July 07" xfId="1304" xr:uid="{00000000-0005-0000-0000-0000E8040000}"/>
    <cellStyle name="_Sheet1_HK-PRC" xfId="1305" xr:uid="{00000000-0005-0000-0000-0000E9040000}"/>
    <cellStyle name="_Sheet1_HK-PRC_2005_PRF breakdown_Asia Credit Market" xfId="1306" xr:uid="{00000000-0005-0000-0000-0000EA040000}"/>
    <cellStyle name="_Sheet1_HK-PRC_21 Dec CM Daily" xfId="1307" xr:uid="{00000000-0005-0000-0000-0000EB040000}"/>
    <cellStyle name="_Sheet1_HK-PRC_ASIA SUMMARY-CONSOL2" xfId="1308" xr:uid="{00000000-0005-0000-0000-0000EC040000}"/>
    <cellStyle name="_Sheet1_HK-PRC_ASIAPnLRisk" xfId="1309" xr:uid="{00000000-0005-0000-0000-0000ED040000}"/>
    <cellStyle name="_Sheet1_HK-PRC_ASIAPnLRisk_06_0131B" xfId="1310" xr:uid="{00000000-0005-0000-0000-0000EE040000}"/>
    <cellStyle name="_Sheet1_HK-PRC_ASIAPnLRisk_NEW VERSION_PPL" xfId="1311" xr:uid="{00000000-0005-0000-0000-0000EF040000}"/>
    <cellStyle name="_Sheet1_HK-PRC_Credit Sales" xfId="1312" xr:uid="{00000000-0005-0000-0000-0000F0040000}"/>
    <cellStyle name="_Sheet1_HK-PRC_Data" xfId="1313" xr:uid="{00000000-0005-0000-0000-0000F1040000}"/>
    <cellStyle name="_Sheet1_HK-PRC_SUMMARY" xfId="1314" xr:uid="{00000000-0005-0000-0000-0000F2040000}"/>
    <cellStyle name="_Sheet1_IB Forecast 05.14.09 BD10 2Q" xfId="1315" xr:uid="{00000000-0005-0000-0000-0000F3040000}"/>
    <cellStyle name="_Sheet1_INT DEALLIST" xfId="1316" xr:uid="{00000000-0005-0000-0000-0000F4040000}"/>
    <cellStyle name="_Sheet1_INVESTORS " xfId="1317" xr:uid="{00000000-0005-0000-0000-0000F5040000}"/>
    <cellStyle name="_Sheet1_NewFormatP&amp;L" xfId="1318" xr:uid="{00000000-0005-0000-0000-0000F6040000}"/>
    <cellStyle name="_Sheet1_Recon tracking" xfId="1319" xr:uid="{00000000-0005-0000-0000-0000F7040000}"/>
    <cellStyle name="_Sheet1_Round 1 Summary FINAL 28 Sep" xfId="1320" xr:uid="{00000000-0005-0000-0000-0000F8040000}"/>
    <cellStyle name="_Sheet1_SGP" xfId="1321" xr:uid="{00000000-0005-0000-0000-0000F9040000}"/>
    <cellStyle name="_Sheet1_SGP_2005_PRF breakdown_Asia Credit Market" xfId="1322" xr:uid="{00000000-0005-0000-0000-0000FA040000}"/>
    <cellStyle name="_Sheet1_SGP_21 Dec CM Daily" xfId="1323" xr:uid="{00000000-0005-0000-0000-0000FB040000}"/>
    <cellStyle name="_Sheet1_SGP_ASIA SUMMARY-CONSOL2" xfId="1324" xr:uid="{00000000-0005-0000-0000-0000FC040000}"/>
    <cellStyle name="_Sheet1_SGP_ASIAPnLRisk" xfId="1325" xr:uid="{00000000-0005-0000-0000-0000FD040000}"/>
    <cellStyle name="_Sheet1_SGP_ASIAPnLRisk_06_0131B" xfId="1326" xr:uid="{00000000-0005-0000-0000-0000FE040000}"/>
    <cellStyle name="_Sheet1_SGP_ASIAPnLRisk_NEW VERSION_PPL" xfId="1327" xr:uid="{00000000-0005-0000-0000-0000FF040000}"/>
    <cellStyle name="_Sheet1_SGP_Credit Sales" xfId="1328" xr:uid="{00000000-0005-0000-0000-000000050000}"/>
    <cellStyle name="_Sheet1_SGP_Data" xfId="1329" xr:uid="{00000000-0005-0000-0000-000001050000}"/>
    <cellStyle name="_Sheet1_SGP_SUMMARY" xfId="1330" xr:uid="{00000000-0005-0000-0000-000002050000}"/>
    <cellStyle name="_Sheet1_Sheet2" xfId="1331" xr:uid="{00000000-0005-0000-0000-000003050000}"/>
    <cellStyle name="_Sheet1_SSG" xfId="1332" xr:uid="{00000000-0005-0000-0000-000004050000}"/>
    <cellStyle name="_Sheet1_SSG_2005_PRF breakdown_Asia Credit Market" xfId="1333" xr:uid="{00000000-0005-0000-0000-000005050000}"/>
    <cellStyle name="_Sheet1_SSG_21 Dec CM Daily" xfId="1334" xr:uid="{00000000-0005-0000-0000-000006050000}"/>
    <cellStyle name="_Sheet1_SSG_ASIA SUMMARY-CONSOL2" xfId="1335" xr:uid="{00000000-0005-0000-0000-000007050000}"/>
    <cellStyle name="_Sheet1_SSG_ASIAPnLRisk" xfId="1336" xr:uid="{00000000-0005-0000-0000-000008050000}"/>
    <cellStyle name="_Sheet1_SSG_ASIAPnLRisk_06_0131B" xfId="1337" xr:uid="{00000000-0005-0000-0000-000009050000}"/>
    <cellStyle name="_Sheet1_SSG_ASIAPnLRisk_NEW VERSION_PPL" xfId="1338" xr:uid="{00000000-0005-0000-0000-00000A050000}"/>
    <cellStyle name="_Sheet1_SSG_Credit Sales" xfId="1339" xr:uid="{00000000-0005-0000-0000-00000B050000}"/>
    <cellStyle name="_Sheet1_SSG_Data" xfId="1340" xr:uid="{00000000-0005-0000-0000-00000C050000}"/>
    <cellStyle name="_Sheet1_SSG_SUMMARY" xfId="1341" xr:uid="{00000000-0005-0000-0000-00000D050000}"/>
    <cellStyle name="_Sheet1_Staff Mapping" xfId="1342" xr:uid="{00000000-0005-0000-0000-00000E050000}"/>
    <cellStyle name="_Sheet1_Summary" xfId="1343" xr:uid="{00000000-0005-0000-0000-00000F050000}"/>
    <cellStyle name="_Sheet1_SUMMARY_1" xfId="1344" xr:uid="{00000000-0005-0000-0000-000010050000}"/>
    <cellStyle name="_Sheet18" xfId="1345" xr:uid="{00000000-0005-0000-0000-000011050000}"/>
    <cellStyle name="_Sheet2" xfId="1346" xr:uid="{00000000-0005-0000-0000-000012050000}"/>
    <cellStyle name="_Sheet2_~5254638" xfId="1347" xr:uid="{00000000-0005-0000-0000-000013050000}"/>
    <cellStyle name="_Sheet2_1" xfId="1348" xr:uid="{00000000-0005-0000-0000-000014050000}"/>
    <cellStyle name="_Sheet2_2005_PRF breakdown_Asia Credit Market" xfId="1349" xr:uid="{00000000-0005-0000-0000-000015050000}"/>
    <cellStyle name="_Sheet2_2007 Commodities PassII v10 112106" xfId="1350" xr:uid="{00000000-0005-0000-0000-000016050000}"/>
    <cellStyle name="_Sheet2_2007 Commodities PassII v8 112006 S&amp;G Inv" xfId="1351" xr:uid="{00000000-0005-0000-0000-000017050000}"/>
    <cellStyle name="_Sheet2_2007 Commodities Revised v3" xfId="1352" xr:uid="{00000000-0005-0000-0000-000018050000}"/>
    <cellStyle name="_Sheet2_2007 Currency PassII V10 112006" xfId="1353" xr:uid="{00000000-0005-0000-0000-000019050000}"/>
    <cellStyle name="_Sheet2_2007 Currency PassII V11 112006 S&amp;G Inv" xfId="1354" xr:uid="{00000000-0005-0000-0000-00001A050000}"/>
    <cellStyle name="_Sheet2_2007 Currency PassII V12 112106" xfId="1355" xr:uid="{00000000-0005-0000-0000-00001B050000}"/>
    <cellStyle name="_Sheet2_2007 Currency Revised v3" xfId="1356" xr:uid="{00000000-0005-0000-0000-00001C050000}"/>
    <cellStyle name="_Sheet2_2008 Budget Templates - 8-28-07" xfId="1357" xr:uid="{00000000-0005-0000-0000-00001D050000}"/>
    <cellStyle name="_Sheet2_2008 Budget Templates 8-30-07" xfId="1358" xr:uid="{00000000-0005-0000-0000-00001E050000}"/>
    <cellStyle name="_Sheet2_2008 Budget Templates 8-30-07 Asia EM" xfId="1359" xr:uid="{00000000-0005-0000-0000-00001F050000}"/>
    <cellStyle name="_Sheet2_2008 HC Baseline - Energy" xfId="1360" xr:uid="{00000000-0005-0000-0000-000020050000}"/>
    <cellStyle name="_Sheet2_2009 budget balance sheet &amp; capital v3" xfId="1361" xr:uid="{00000000-0005-0000-0000-000021050000}"/>
    <cellStyle name="_Sheet2_21 Dec CM Daily" xfId="1362" xr:uid="{00000000-0005-0000-0000-000022050000}"/>
    <cellStyle name="_Sheet2_Americas Emerging Markets Plan 08 Template v1.17" xfId="1363" xr:uid="{00000000-0005-0000-0000-000023050000}"/>
    <cellStyle name="_Sheet2_ASIA Emerging Market Plan 08 Templatev1.1" xfId="1364" xr:uid="{00000000-0005-0000-0000-000024050000}"/>
    <cellStyle name="_Sheet2_ASIA SUMMARY-CONSOL2" xfId="1365" xr:uid="{00000000-0005-0000-0000-000025050000}"/>
    <cellStyle name="_Sheet2_ASIAPnLRisk" xfId="1366" xr:uid="{00000000-0005-0000-0000-000026050000}"/>
    <cellStyle name="_Sheet2_ASIAPnLRisk_06_0131B" xfId="1367" xr:uid="{00000000-0005-0000-0000-000027050000}"/>
    <cellStyle name="_Sheet2_ASIAPnLRisk_NEW VERSION_PPL" xfId="1368" xr:uid="{00000000-0005-0000-0000-000028050000}"/>
    <cellStyle name="_Sheet2_BS" xfId="1369" xr:uid="{00000000-0005-0000-0000-000029050000}"/>
    <cellStyle name="_Sheet2_BS compliance" xfId="1370" xr:uid="{00000000-0005-0000-0000-00002A050000}"/>
    <cellStyle name="_Sheet2_Cash CDO &amp; AI" xfId="1371" xr:uid="{00000000-0005-0000-0000-00002B050000}"/>
    <cellStyle name="_Sheet2_Cash CDO &amp; AI_2005_PRF breakdown_Asia Credit Market" xfId="1372" xr:uid="{00000000-0005-0000-0000-00002C050000}"/>
    <cellStyle name="_Sheet2_Cash CDO &amp; AI_21 Dec CM Daily" xfId="1373" xr:uid="{00000000-0005-0000-0000-00002D050000}"/>
    <cellStyle name="_Sheet2_Cash CDO &amp; AI_ASIA SUMMARY-CONSOL2" xfId="1374" xr:uid="{00000000-0005-0000-0000-00002E050000}"/>
    <cellStyle name="_Sheet2_Cash CDO &amp; AI_ASIAPnLRisk" xfId="1375" xr:uid="{00000000-0005-0000-0000-00002F050000}"/>
    <cellStyle name="_Sheet2_Cash CDO &amp; AI_ASIAPnLRisk_06_0131B" xfId="1376" xr:uid="{00000000-0005-0000-0000-000030050000}"/>
    <cellStyle name="_Sheet2_Cash CDO &amp; AI_ASIAPnLRisk_NEW VERSION_PPL" xfId="1377" xr:uid="{00000000-0005-0000-0000-000031050000}"/>
    <cellStyle name="_Sheet2_Cash CDO &amp; AI_Credit Sales" xfId="1378" xr:uid="{00000000-0005-0000-0000-000032050000}"/>
    <cellStyle name="_Sheet2_Cash CDO &amp; AI_Data" xfId="1379" xr:uid="{00000000-0005-0000-0000-000033050000}"/>
    <cellStyle name="_Sheet2_Cash CDO &amp; AI_SUMMARY" xfId="1380" xr:uid="{00000000-0005-0000-0000-000034050000}"/>
    <cellStyle name="_Sheet2_Corp IC Page for Q1 Outlook v2" xfId="1381" xr:uid="{00000000-0005-0000-0000-000035050000}"/>
    <cellStyle name="_Sheet2_CORPORATE" xfId="1382" xr:uid="{00000000-0005-0000-0000-000036050000}"/>
    <cellStyle name="_Sheet2_Credit Sales" xfId="1383" xr:uid="{00000000-0005-0000-0000-000037050000}"/>
    <cellStyle name="_Sheet2_CREDIT SUMM" xfId="1384" xr:uid="{00000000-0005-0000-0000-000038050000}"/>
    <cellStyle name="_Sheet2_CREDIT SUMM_2005_PRF breakdown_Asia Credit Market" xfId="1385" xr:uid="{00000000-0005-0000-0000-000039050000}"/>
    <cellStyle name="_Sheet2_CREDIT SUMM_21 Dec CM Daily" xfId="1386" xr:uid="{00000000-0005-0000-0000-00003A050000}"/>
    <cellStyle name="_Sheet2_CREDIT SUMM_ASIA SUMMARY-CONSOL2" xfId="1387" xr:uid="{00000000-0005-0000-0000-00003B050000}"/>
    <cellStyle name="_Sheet2_CREDIT SUMM_ASIAPnLRisk" xfId="1388" xr:uid="{00000000-0005-0000-0000-00003C050000}"/>
    <cellStyle name="_Sheet2_CREDIT SUMM_ASIAPnLRisk_06_0131B" xfId="1389" xr:uid="{00000000-0005-0000-0000-00003D050000}"/>
    <cellStyle name="_Sheet2_CREDIT SUMM_ASIAPnLRisk_NEW VERSION_PPL" xfId="1390" xr:uid="{00000000-0005-0000-0000-00003E050000}"/>
    <cellStyle name="_Sheet2_CREDIT SUMM_Credit Sales" xfId="1391" xr:uid="{00000000-0005-0000-0000-00003F050000}"/>
    <cellStyle name="_Sheet2_CREDIT SUMM_Data" xfId="1392" xr:uid="{00000000-0005-0000-0000-000040050000}"/>
    <cellStyle name="_Sheet2_CREDIT SUMM_SUMMARY" xfId="1393" xr:uid="{00000000-0005-0000-0000-000041050000}"/>
    <cellStyle name="_Sheet2_Data" xfId="1394" xr:uid="{00000000-0005-0000-0000-000042050000}"/>
    <cellStyle name="_Sheet2_Don-Marie 9-26-07 v6(CM)" xfId="1395" xr:uid="{00000000-0005-0000-0000-000043050000}"/>
    <cellStyle name="_Sheet2_EMEA Emerging Market Plan 08 Templatev1.17" xfId="1396" xr:uid="{00000000-0005-0000-0000-000044050000}"/>
    <cellStyle name="_Sheet2_GCCG templates" xfId="1397" xr:uid="{00000000-0005-0000-0000-000045050000}"/>
    <cellStyle name="_Sheet2_GEM Plan 08- Investment - Productivityv 0.08" xfId="1398" xr:uid="{00000000-0005-0000-0000-000046050000}"/>
    <cellStyle name="_Sheet2_HC Tracking July 07" xfId="1399" xr:uid="{00000000-0005-0000-0000-000047050000}"/>
    <cellStyle name="_Sheet2_HK-PRC" xfId="1400" xr:uid="{00000000-0005-0000-0000-000048050000}"/>
    <cellStyle name="_Sheet2_HK-PRC_2005_PRF breakdown_Asia Credit Market" xfId="1401" xr:uid="{00000000-0005-0000-0000-000049050000}"/>
    <cellStyle name="_Sheet2_HK-PRC_21 Dec CM Daily" xfId="1402" xr:uid="{00000000-0005-0000-0000-00004A050000}"/>
    <cellStyle name="_Sheet2_HK-PRC_ASIA SUMMARY-CONSOL2" xfId="1403" xr:uid="{00000000-0005-0000-0000-00004B050000}"/>
    <cellStyle name="_Sheet2_HK-PRC_ASIAPnLRisk" xfId="1404" xr:uid="{00000000-0005-0000-0000-00004C050000}"/>
    <cellStyle name="_Sheet2_HK-PRC_ASIAPnLRisk_06_0131B" xfId="1405" xr:uid="{00000000-0005-0000-0000-00004D050000}"/>
    <cellStyle name="_Sheet2_HK-PRC_ASIAPnLRisk_NEW VERSION_PPL" xfId="1406" xr:uid="{00000000-0005-0000-0000-00004E050000}"/>
    <cellStyle name="_Sheet2_HK-PRC_Credit Sales" xfId="1407" xr:uid="{00000000-0005-0000-0000-00004F050000}"/>
    <cellStyle name="_Sheet2_HK-PRC_Data" xfId="1408" xr:uid="{00000000-0005-0000-0000-000050050000}"/>
    <cellStyle name="_Sheet2_HK-PRC_SUMMARY" xfId="1409" xr:uid="{00000000-0005-0000-0000-000051050000}"/>
    <cellStyle name="_Sheet2_INT DEALLIST" xfId="1410" xr:uid="{00000000-0005-0000-0000-000052050000}"/>
    <cellStyle name="_Sheet2_INVESTORS " xfId="1411" xr:uid="{00000000-0005-0000-0000-000053050000}"/>
    <cellStyle name="_Sheet2_Q1 IC - Tracker Update" xfId="1412" xr:uid="{00000000-0005-0000-0000-000054050000}"/>
    <cellStyle name="_Sheet2_Recon tracking" xfId="1413" xr:uid="{00000000-0005-0000-0000-000055050000}"/>
    <cellStyle name="_Sheet2_SGP" xfId="1414" xr:uid="{00000000-0005-0000-0000-000056050000}"/>
    <cellStyle name="_Sheet2_SGP_2005_PRF breakdown_Asia Credit Market" xfId="1415" xr:uid="{00000000-0005-0000-0000-000057050000}"/>
    <cellStyle name="_Sheet2_SGP_21 Dec CM Daily" xfId="1416" xr:uid="{00000000-0005-0000-0000-000058050000}"/>
    <cellStyle name="_Sheet2_SGP_ASIA SUMMARY-CONSOL2" xfId="1417" xr:uid="{00000000-0005-0000-0000-000059050000}"/>
    <cellStyle name="_Sheet2_SGP_ASIAPnLRisk" xfId="1418" xr:uid="{00000000-0005-0000-0000-00005A050000}"/>
    <cellStyle name="_Sheet2_SGP_ASIAPnLRisk_06_0131B" xfId="1419" xr:uid="{00000000-0005-0000-0000-00005B050000}"/>
    <cellStyle name="_Sheet2_SGP_ASIAPnLRisk_NEW VERSION_PPL" xfId="1420" xr:uid="{00000000-0005-0000-0000-00005C050000}"/>
    <cellStyle name="_Sheet2_SGP_Credit Sales" xfId="1421" xr:uid="{00000000-0005-0000-0000-00005D050000}"/>
    <cellStyle name="_Sheet2_SGP_Data" xfId="1422" xr:uid="{00000000-0005-0000-0000-00005E050000}"/>
    <cellStyle name="_Sheet2_SGP_SUMMARY" xfId="1423" xr:uid="{00000000-0005-0000-0000-00005F050000}"/>
    <cellStyle name="_Sheet2_Sheet1" xfId="1424" xr:uid="{00000000-0005-0000-0000-000060050000}"/>
    <cellStyle name="_Sheet2_SSG" xfId="1425" xr:uid="{00000000-0005-0000-0000-000061050000}"/>
    <cellStyle name="_Sheet2_SSG_2005_PRF breakdown_Asia Credit Market" xfId="1426" xr:uid="{00000000-0005-0000-0000-000062050000}"/>
    <cellStyle name="_Sheet2_SSG_21 Dec CM Daily" xfId="1427" xr:uid="{00000000-0005-0000-0000-000063050000}"/>
    <cellStyle name="_Sheet2_SSG_ASIA SUMMARY-CONSOL2" xfId="1428" xr:uid="{00000000-0005-0000-0000-000064050000}"/>
    <cellStyle name="_Sheet2_SSG_ASIAPnLRisk" xfId="1429" xr:uid="{00000000-0005-0000-0000-000065050000}"/>
    <cellStyle name="_Sheet2_SSG_ASIAPnLRisk_06_0131B" xfId="1430" xr:uid="{00000000-0005-0000-0000-000066050000}"/>
    <cellStyle name="_Sheet2_SSG_ASIAPnLRisk_NEW VERSION_PPL" xfId="1431" xr:uid="{00000000-0005-0000-0000-000067050000}"/>
    <cellStyle name="_Sheet2_SSG_Credit Sales" xfId="1432" xr:uid="{00000000-0005-0000-0000-000068050000}"/>
    <cellStyle name="_Sheet2_SSG_Data" xfId="1433" xr:uid="{00000000-0005-0000-0000-000069050000}"/>
    <cellStyle name="_Sheet2_SSG_SUMMARY" xfId="1434" xr:uid="{00000000-0005-0000-0000-00006A050000}"/>
    <cellStyle name="_Sheet2_Staff Mapping" xfId="1435" xr:uid="{00000000-0005-0000-0000-00006B050000}"/>
    <cellStyle name="_Sheet2_Summary" xfId="1436" xr:uid="{00000000-0005-0000-0000-00006C050000}"/>
    <cellStyle name="_Sheet3" xfId="1437" xr:uid="{00000000-0005-0000-0000-00006D050000}"/>
    <cellStyle name="_Sheet3_2005_PRF breakdown_Asia Credit Market" xfId="1438" xr:uid="{00000000-0005-0000-0000-00006E050000}"/>
    <cellStyle name="_Sheet3_21 Dec CM Daily" xfId="1439" xr:uid="{00000000-0005-0000-0000-00006F050000}"/>
    <cellStyle name="_Sheet3_ASIA SUMMARY-CONSOL2" xfId="1440" xr:uid="{00000000-0005-0000-0000-000070050000}"/>
    <cellStyle name="_Sheet3_ASIAPnLRisk" xfId="1441" xr:uid="{00000000-0005-0000-0000-000071050000}"/>
    <cellStyle name="_Sheet3_ASIAPnLRisk_06_0131B" xfId="1442" xr:uid="{00000000-0005-0000-0000-000072050000}"/>
    <cellStyle name="_Sheet3_ASIAPnLRisk_NEW VERSION_PPL" xfId="1443" xr:uid="{00000000-0005-0000-0000-000073050000}"/>
    <cellStyle name="_Sheet3_Cash CDO &amp; AI" xfId="1444" xr:uid="{00000000-0005-0000-0000-000074050000}"/>
    <cellStyle name="_Sheet3_Cash CDO &amp; AI_2005_PRF breakdown_Asia Credit Market" xfId="1445" xr:uid="{00000000-0005-0000-0000-000075050000}"/>
    <cellStyle name="_Sheet3_Cash CDO &amp; AI_21 Dec CM Daily" xfId="1446" xr:uid="{00000000-0005-0000-0000-000076050000}"/>
    <cellStyle name="_Sheet3_Cash CDO &amp; AI_ASIA SUMMARY-CONSOL2" xfId="1447" xr:uid="{00000000-0005-0000-0000-000077050000}"/>
    <cellStyle name="_Sheet3_Cash CDO &amp; AI_ASIAPnLRisk" xfId="1448" xr:uid="{00000000-0005-0000-0000-000078050000}"/>
    <cellStyle name="_Sheet3_Cash CDO &amp; AI_ASIAPnLRisk_06_0131B" xfId="1449" xr:uid="{00000000-0005-0000-0000-000079050000}"/>
    <cellStyle name="_Sheet3_Cash CDO &amp; AI_ASIAPnLRisk_NEW VERSION_PPL" xfId="1450" xr:uid="{00000000-0005-0000-0000-00007A050000}"/>
    <cellStyle name="_Sheet3_Cash CDO &amp; AI_Credit Sales" xfId="1451" xr:uid="{00000000-0005-0000-0000-00007B050000}"/>
    <cellStyle name="_Sheet3_Cash CDO &amp; AI_Data" xfId="1452" xr:uid="{00000000-0005-0000-0000-00007C050000}"/>
    <cellStyle name="_Sheet3_Cash CDO &amp; AI_SUMMARY" xfId="1453" xr:uid="{00000000-0005-0000-0000-00007D050000}"/>
    <cellStyle name="_Sheet3_CORPORATE" xfId="1454" xr:uid="{00000000-0005-0000-0000-00007E050000}"/>
    <cellStyle name="_Sheet3_Credit Sales" xfId="1455" xr:uid="{00000000-0005-0000-0000-00007F050000}"/>
    <cellStyle name="_Sheet3_CREDIT SUMM" xfId="1456" xr:uid="{00000000-0005-0000-0000-000080050000}"/>
    <cellStyle name="_Sheet3_CREDIT SUMM_2005_PRF breakdown_Asia Credit Market" xfId="1457" xr:uid="{00000000-0005-0000-0000-000081050000}"/>
    <cellStyle name="_Sheet3_CREDIT SUMM_21 Dec CM Daily" xfId="1458" xr:uid="{00000000-0005-0000-0000-000082050000}"/>
    <cellStyle name="_Sheet3_CREDIT SUMM_ASIA SUMMARY-CONSOL2" xfId="1459" xr:uid="{00000000-0005-0000-0000-000083050000}"/>
    <cellStyle name="_Sheet3_CREDIT SUMM_ASIAPnLRisk" xfId="1460" xr:uid="{00000000-0005-0000-0000-000084050000}"/>
    <cellStyle name="_Sheet3_CREDIT SUMM_ASIAPnLRisk_06_0131B" xfId="1461" xr:uid="{00000000-0005-0000-0000-000085050000}"/>
    <cellStyle name="_Sheet3_CREDIT SUMM_ASIAPnLRisk_NEW VERSION_PPL" xfId="1462" xr:uid="{00000000-0005-0000-0000-000086050000}"/>
    <cellStyle name="_Sheet3_CREDIT SUMM_Credit Sales" xfId="1463" xr:uid="{00000000-0005-0000-0000-000087050000}"/>
    <cellStyle name="_Sheet3_CREDIT SUMM_Data" xfId="1464" xr:uid="{00000000-0005-0000-0000-000088050000}"/>
    <cellStyle name="_Sheet3_CREDIT SUMM_SUMMARY" xfId="1465" xr:uid="{00000000-0005-0000-0000-000089050000}"/>
    <cellStyle name="_Sheet3_Data" xfId="1466" xr:uid="{00000000-0005-0000-0000-00008A050000}"/>
    <cellStyle name="_Sheet3_HK-PRC" xfId="1467" xr:uid="{00000000-0005-0000-0000-00008B050000}"/>
    <cellStyle name="_Sheet3_HK-PRC_2005_PRF breakdown_Asia Credit Market" xfId="1468" xr:uid="{00000000-0005-0000-0000-00008C050000}"/>
    <cellStyle name="_Sheet3_HK-PRC_21 Dec CM Daily" xfId="1469" xr:uid="{00000000-0005-0000-0000-00008D050000}"/>
    <cellStyle name="_Sheet3_HK-PRC_ASIA SUMMARY-CONSOL2" xfId="1470" xr:uid="{00000000-0005-0000-0000-00008E050000}"/>
    <cellStyle name="_Sheet3_HK-PRC_ASIAPnLRisk" xfId="1471" xr:uid="{00000000-0005-0000-0000-00008F050000}"/>
    <cellStyle name="_Sheet3_HK-PRC_ASIAPnLRisk_06_0131B" xfId="1472" xr:uid="{00000000-0005-0000-0000-000090050000}"/>
    <cellStyle name="_Sheet3_HK-PRC_ASIAPnLRisk_NEW VERSION_PPL" xfId="1473" xr:uid="{00000000-0005-0000-0000-000091050000}"/>
    <cellStyle name="_Sheet3_HK-PRC_Credit Sales" xfId="1474" xr:uid="{00000000-0005-0000-0000-000092050000}"/>
    <cellStyle name="_Sheet3_HK-PRC_Data" xfId="1475" xr:uid="{00000000-0005-0000-0000-000093050000}"/>
    <cellStyle name="_Sheet3_HK-PRC_SUMMARY" xfId="1476" xr:uid="{00000000-0005-0000-0000-000094050000}"/>
    <cellStyle name="_Sheet3_INT DEALLIST" xfId="1477" xr:uid="{00000000-0005-0000-0000-000095050000}"/>
    <cellStyle name="_Sheet3_INVESTORS " xfId="1478" xr:uid="{00000000-0005-0000-0000-000096050000}"/>
    <cellStyle name="_Sheet3_Recon tracking" xfId="1479" xr:uid="{00000000-0005-0000-0000-000097050000}"/>
    <cellStyle name="_Sheet3_SGP" xfId="1480" xr:uid="{00000000-0005-0000-0000-000098050000}"/>
    <cellStyle name="_Sheet3_SGP_2005_PRF breakdown_Asia Credit Market" xfId="1481" xr:uid="{00000000-0005-0000-0000-000099050000}"/>
    <cellStyle name="_Sheet3_SGP_21 Dec CM Daily" xfId="1482" xr:uid="{00000000-0005-0000-0000-00009A050000}"/>
    <cellStyle name="_Sheet3_SGP_ASIA SUMMARY-CONSOL2" xfId="1483" xr:uid="{00000000-0005-0000-0000-00009B050000}"/>
    <cellStyle name="_Sheet3_SGP_ASIAPnLRisk" xfId="1484" xr:uid="{00000000-0005-0000-0000-00009C050000}"/>
    <cellStyle name="_Sheet3_SGP_ASIAPnLRisk_06_0131B" xfId="1485" xr:uid="{00000000-0005-0000-0000-00009D050000}"/>
    <cellStyle name="_Sheet3_SGP_ASIAPnLRisk_NEW VERSION_PPL" xfId="1486" xr:uid="{00000000-0005-0000-0000-00009E050000}"/>
    <cellStyle name="_Sheet3_SGP_Credit Sales" xfId="1487" xr:uid="{00000000-0005-0000-0000-00009F050000}"/>
    <cellStyle name="_Sheet3_SGP_Data" xfId="1488" xr:uid="{00000000-0005-0000-0000-0000A0050000}"/>
    <cellStyle name="_Sheet3_SGP_SUMMARY" xfId="1489" xr:uid="{00000000-0005-0000-0000-0000A1050000}"/>
    <cellStyle name="_Sheet3_SSG" xfId="1490" xr:uid="{00000000-0005-0000-0000-0000A2050000}"/>
    <cellStyle name="_Sheet3_SSG_2005_PRF breakdown_Asia Credit Market" xfId="1491" xr:uid="{00000000-0005-0000-0000-0000A3050000}"/>
    <cellStyle name="_Sheet3_SSG_21 Dec CM Daily" xfId="1492" xr:uid="{00000000-0005-0000-0000-0000A4050000}"/>
    <cellStyle name="_Sheet3_SSG_ASIA SUMMARY-CONSOL2" xfId="1493" xr:uid="{00000000-0005-0000-0000-0000A5050000}"/>
    <cellStyle name="_Sheet3_SSG_ASIAPnLRisk" xfId="1494" xr:uid="{00000000-0005-0000-0000-0000A6050000}"/>
    <cellStyle name="_Sheet3_SSG_ASIAPnLRisk_06_0131B" xfId="1495" xr:uid="{00000000-0005-0000-0000-0000A7050000}"/>
    <cellStyle name="_Sheet3_SSG_ASIAPnLRisk_NEW VERSION_PPL" xfId="1496" xr:uid="{00000000-0005-0000-0000-0000A8050000}"/>
    <cellStyle name="_Skybox" xfId="1497" xr:uid="{00000000-0005-0000-0000-0000A9050000}"/>
    <cellStyle name="_Skybox_Data" xfId="1498" xr:uid="{00000000-0005-0000-0000-0000AA050000}"/>
    <cellStyle name="_Skybox_Sheet1" xfId="1499" xr:uid="{00000000-0005-0000-0000-0000AB050000}"/>
    <cellStyle name="_Skybox_Stress" xfId="1500" xr:uid="{00000000-0005-0000-0000-0000AC050000}"/>
    <cellStyle name="_Skybox_Summary" xfId="1501" xr:uid="{00000000-0005-0000-0000-0000AD050000}"/>
    <cellStyle name="_SOX_Control_#8_Jan09_Data_as of 2-11-09 FV" xfId="1502" xr:uid="{00000000-0005-0000-0000-0000AE050000}"/>
    <cellStyle name="_Spot BS &amp; BII RWA" xfId="1503" xr:uid="{00000000-0005-0000-0000-0000AF050000}"/>
    <cellStyle name="_Spread Walk NEW_Budget ENT" xfId="1504" xr:uid="{00000000-0005-0000-0000-0000B0050000}"/>
    <cellStyle name="_SubHeading" xfId="1505" xr:uid="{00000000-0005-0000-0000-0000B1050000}"/>
    <cellStyle name="_SubHeading_management fee calc.071604" xfId="1506" xr:uid="{00000000-0005-0000-0000-0000B2050000}"/>
    <cellStyle name="_SubHeading_management fee calc.071604_Sheet1" xfId="1507" xr:uid="{00000000-0005-0000-0000-0000B3050000}"/>
    <cellStyle name="_SubHeading_management fee calc.071604_Stress" xfId="1508" xr:uid="{00000000-0005-0000-0000-0000B4050000}"/>
    <cellStyle name="_SubHeading_prestemp" xfId="1509" xr:uid="{00000000-0005-0000-0000-0000B5050000}"/>
    <cellStyle name="_SubHeading_prestemp_Sheet1" xfId="1510" xr:uid="{00000000-0005-0000-0000-0000B6050000}"/>
    <cellStyle name="_SubHeading_prestemp_Stress" xfId="1511" xr:uid="{00000000-0005-0000-0000-0000B7050000}"/>
    <cellStyle name="_Table" xfId="1512" xr:uid="{00000000-0005-0000-0000-0000B8050000}"/>
    <cellStyle name="_TableHead" xfId="1513" xr:uid="{00000000-0005-0000-0000-0000B9050000}"/>
    <cellStyle name="_TableRowHead" xfId="1514" xr:uid="{00000000-0005-0000-0000-0000BA050000}"/>
    <cellStyle name="_TableSuperHead" xfId="1515" xr:uid="{00000000-0005-0000-0000-0000BB050000}"/>
    <cellStyle name="_TSS Outlook 9-21-07" xfId="1516" xr:uid="{00000000-0005-0000-0000-0000BC050000}"/>
    <cellStyle name="_Update Assets Liquidity  Exits" xfId="1517" xr:uid="{00000000-0005-0000-0000-0000BD050000}"/>
    <cellStyle name="_Update Assets Liquidity  Exits_Sheet1" xfId="1518" xr:uid="{00000000-0005-0000-0000-0000BE050000}"/>
    <cellStyle name="_Update Assets Liquidity  Exits_Stress" xfId="1519" xr:uid="{00000000-0005-0000-0000-0000BF050000}"/>
    <cellStyle name="_Update Assets Liquidity  Exits_Summary" xfId="1520" xr:uid="{00000000-0005-0000-0000-0000C0050000}"/>
    <cellStyle name="_VIE MAC Matrix 020706_final" xfId="1521" xr:uid="{00000000-0005-0000-0000-0000C1050000}"/>
    <cellStyle name="_VIE MAC Matrix 030806" xfId="1522" xr:uid="{00000000-0005-0000-0000-0000C2050000}"/>
    <cellStyle name="_VIE MAC Matrix 041106 - Final" xfId="1523" xr:uid="{00000000-0005-0000-0000-0000C3050000}"/>
    <cellStyle name="_VIE MAC Matrix 091605" xfId="1524" xr:uid="{00000000-0005-0000-0000-0000C4050000}"/>
    <cellStyle name="_VIE MAC Matrix 11" xfId="1525" xr:uid="{00000000-0005-0000-0000-0000C5050000}"/>
    <cellStyle name="_VIE MAC Matrix 110805" xfId="1526" xr:uid="{00000000-0005-0000-0000-0000C6050000}"/>
    <cellStyle name="_Z_TrackingJan17" xfId="1527" xr:uid="{00000000-0005-0000-0000-0000C7050000}"/>
    <cellStyle name="_Z_Waterfall_RevenueType(forPPT Oct14)" xfId="1528" xr:uid="{00000000-0005-0000-0000-0000C8050000}"/>
    <cellStyle name="£ BP" xfId="1529" xr:uid="{00000000-0005-0000-0000-0000C9050000}"/>
    <cellStyle name="¥ JY" xfId="1530" xr:uid="{00000000-0005-0000-0000-0000CA050000}"/>
    <cellStyle name="€" xfId="1531" xr:uid="{00000000-0005-0000-0000-0000CB050000}"/>
    <cellStyle name="=C:\WINDOWS\SYSTEM32\COMMAND.COM" xfId="1532" xr:uid="{00000000-0005-0000-0000-0000CC050000}"/>
    <cellStyle name="=C:\WINNT\SYSTEM32\COMMAND.COM" xfId="1533" xr:uid="{00000000-0005-0000-0000-0000CD050000}"/>
    <cellStyle name="•W€_DATABASE" xfId="1534" xr:uid="{00000000-0005-0000-0000-0000CE050000}"/>
    <cellStyle name="_x000b_À_x000d__x0014__x0016_À_x0018__x001a_À_x001d_" xfId="1535" xr:uid="{00000000-0005-0000-0000-0000CF050000}"/>
    <cellStyle name="0" xfId="1536" xr:uid="{00000000-0005-0000-0000-0000D0050000}"/>
    <cellStyle name="0%" xfId="1537" xr:uid="{00000000-0005-0000-0000-0000D1050000}"/>
    <cellStyle name="0,0_x000a__x000a_NA_x000a__x000a_" xfId="1538" xr:uid="{00000000-0005-0000-0000-0000D2050000}"/>
    <cellStyle name="0,0_x000d__x000a_NA_x000d__x000a_" xfId="1539" xr:uid="{00000000-0005-0000-0000-0000D3050000}"/>
    <cellStyle name="0.0" xfId="1540" xr:uid="{00000000-0005-0000-0000-0000D4050000}"/>
    <cellStyle name="0.0%" xfId="1541" xr:uid="{00000000-0005-0000-0000-0000D5050000}"/>
    <cellStyle name="0.00" xfId="1542" xr:uid="{00000000-0005-0000-0000-0000D6050000}"/>
    <cellStyle name="0.00%" xfId="1543" xr:uid="{00000000-0005-0000-0000-0000D7050000}"/>
    <cellStyle name="0_Sheet1" xfId="1544" xr:uid="{00000000-0005-0000-0000-0000D8050000}"/>
    <cellStyle name="0_Stress" xfId="1545" xr:uid="{00000000-0005-0000-0000-0000D9050000}"/>
    <cellStyle name="0IsBlank" xfId="1546" xr:uid="{00000000-0005-0000-0000-0000DA050000}"/>
    <cellStyle name="1" xfId="1547" xr:uid="{00000000-0005-0000-0000-0000DB050000}"/>
    <cellStyle name="1_03 final prod models" xfId="1548" xr:uid="{00000000-0005-0000-0000-0000DC050000}"/>
    <cellStyle name="1_04 Prod Walk" xfId="1549" xr:uid="{00000000-0005-0000-0000-0000DD050000}"/>
    <cellStyle name="1_10-25-02 ISC Review" xfId="1550" xr:uid="{00000000-0005-0000-0000-0000DE050000}"/>
    <cellStyle name="1_2002 TOTAL" xfId="1551" xr:uid="{00000000-0005-0000-0000-0000DF050000}"/>
    <cellStyle name="1_2003 AOP DECK Ademco" xfId="1552" xr:uid="{00000000-0005-0000-0000-0000E0050000}"/>
    <cellStyle name="1_2003 AOP Deck ADI" xfId="1553" xr:uid="{00000000-0005-0000-0000-0000E1050000}"/>
    <cellStyle name="1_2003 AOP DECK Fire" xfId="1554" xr:uid="{00000000-0005-0000-0000-0000E2050000}"/>
    <cellStyle name="1_2003 AOP Deck International" xfId="1555" xr:uid="{00000000-0005-0000-0000-0000E3050000}"/>
    <cellStyle name="1_2003 Fire Productivity Deck_Gilligan Review" xfId="1556" xr:uid="{00000000-0005-0000-0000-0000E4050000}"/>
    <cellStyle name="1_2003 Productivity Model v33 (External)" xfId="1557" xr:uid="{00000000-0005-0000-0000-0000E5050000}"/>
    <cellStyle name="1_2003 SBE Productivity Decks" xfId="1558" xr:uid="{00000000-0005-0000-0000-0000E6050000}"/>
    <cellStyle name="1_2003 Template Values" xfId="1559" xr:uid="{00000000-0005-0000-0000-0000E7050000}"/>
    <cellStyle name="1_2003_02 Costs structure" xfId="1560" xr:uid="{00000000-0005-0000-0000-0000E8050000}"/>
    <cellStyle name="1_2004scorecardna66fcst" xfId="1561" xr:uid="{00000000-0005-0000-0000-0000E9050000}"/>
    <cellStyle name="1_2005scorecardwwaop" xfId="1562" xr:uid="{00000000-0005-0000-0000-0000EA050000}"/>
    <cellStyle name="1_America Debt Schedule v 21" xfId="1563" xr:uid="{00000000-0005-0000-0000-0000EB050000}"/>
    <cellStyle name="1_AOP 2003 Germany MASTER" xfId="1564" xr:uid="{00000000-0005-0000-0000-0000EC050000}"/>
    <cellStyle name="1_AOP Productivity" xfId="1565" xr:uid="{00000000-0005-0000-0000-0000ED050000}"/>
    <cellStyle name="1_AOP_present_draft1" xfId="1566" xr:uid="{00000000-0005-0000-0000-0000EE050000}"/>
    <cellStyle name="1_BASELINEEUROPE" xfId="1567" xr:uid="{00000000-0005-0000-0000-0000EF050000}"/>
    <cellStyle name="1_CopyOfOI Walks" xfId="1568" xr:uid="{00000000-0005-0000-0000-0000F0050000}"/>
    <cellStyle name="1_cost category exercise1" xfId="1569" xr:uid="{00000000-0005-0000-0000-0000F1050000}"/>
    <cellStyle name="1_Cost Structure AOP 2003 US$" xfId="1570" xr:uid="{00000000-0005-0000-0000-0000F2050000}"/>
    <cellStyle name="1_Cost Structure Benelux USD" xfId="1571" xr:uid="{00000000-0005-0000-0000-0000F3050000}"/>
    <cellStyle name="1_Cost Structure mars 03" xfId="1572" xr:uid="{00000000-0005-0000-0000-0000F4050000}"/>
    <cellStyle name="1_Cost Structure Template v" xfId="1573" xr:uid="{00000000-0005-0000-0000-0000F5050000}"/>
    <cellStyle name="1_Cost Structure Template_sz_2002_2003" xfId="1574" xr:uid="{00000000-0005-0000-0000-0000F6050000}"/>
    <cellStyle name="1_Cost Structure Template240303" xfId="1575" xr:uid="{00000000-0005-0000-0000-0000F7050000}"/>
    <cellStyle name="1_Cost Structure Templatev2" xfId="1576" xr:uid="{00000000-0005-0000-0000-0000F8050000}"/>
    <cellStyle name="1_Dec QOR_productivity chart" xfId="1577" xr:uid="{00000000-0005-0000-0000-0000F9050000}"/>
    <cellStyle name="1_December QOR_Dec11" xfId="1578" xr:uid="{00000000-0005-0000-0000-0000FA050000}"/>
    <cellStyle name="1_discretionary" xfId="1579" xr:uid="{00000000-0005-0000-0000-0000FB050000}"/>
    <cellStyle name="1_discretionary2" xfId="1580" xr:uid="{00000000-0005-0000-0000-0000FC050000}"/>
    <cellStyle name="1_Download 11-09 13h" xfId="1581" xr:uid="{00000000-0005-0000-0000-0000FD050000}"/>
    <cellStyle name="1_Dynamic Sales 2" xfId="1582" xr:uid="{00000000-0005-0000-0000-0000FE050000}"/>
    <cellStyle name="1_ESS COST CATEGORY UPDATED" xfId="1583" xr:uid="{00000000-0005-0000-0000-0000FF050000}"/>
    <cellStyle name="1_ETrade Model (Updated February 12, 2008) v.4" xfId="1584" xr:uid="{00000000-0005-0000-0000-000000060000}"/>
    <cellStyle name="1_February MOR_Feb11" xfId="1585" xr:uid="{00000000-0005-0000-0000-000001060000}"/>
    <cellStyle name="1_GD_Project_2001.10.22" xfId="1586" xr:uid="{00000000-0005-0000-0000-000002060000}"/>
    <cellStyle name="1_HFM Productivty Model.xls Chart 1" xfId="1587" xr:uid="{00000000-0005-0000-0000-000003060000}"/>
    <cellStyle name="1_HFM Productivty Model.xls Chart 3" xfId="1588" xr:uid="{00000000-0005-0000-0000-000004060000}"/>
    <cellStyle name="1_HFM Productivty Model.xls Chart 6" xfId="1589" xr:uid="{00000000-0005-0000-0000-000005060000}"/>
    <cellStyle name="1_HFM Productivty Model.xls Chart 8" xfId="1590" xr:uid="{00000000-0005-0000-0000-000006060000}"/>
    <cellStyle name="1_hfm200484estscorecardwwhps" xfId="1591" xr:uid="{00000000-0005-0000-0000-000007060000}"/>
    <cellStyle name="1_ISC Productivity Fact Sheet" xfId="1592" xr:uid="{00000000-0005-0000-0000-000008060000}"/>
    <cellStyle name="1_Jan'03 QOR_productivity chart" xfId="1593" xr:uid="{00000000-0005-0000-0000-000009060000}"/>
    <cellStyle name="1_MFR Regional Template - LAR - August" xfId="1594" xr:uid="{00000000-0005-0000-0000-00000A060000}"/>
    <cellStyle name="1_New Ops 2003.xls Chart 1" xfId="1595" xr:uid="{00000000-0005-0000-0000-00000B060000}"/>
    <cellStyle name="1_New Ops 2003.xls Chart 10" xfId="1596" xr:uid="{00000000-0005-0000-0000-00000C060000}"/>
    <cellStyle name="1_New Ops 2003.xls Chart 11" xfId="1597" xr:uid="{00000000-0005-0000-0000-00000D060000}"/>
    <cellStyle name="1_New Ops 2003.xls Chart 12" xfId="1598" xr:uid="{00000000-0005-0000-0000-00000E060000}"/>
    <cellStyle name="1_New Ops 2003.xls Chart 2" xfId="1599" xr:uid="{00000000-0005-0000-0000-00000F060000}"/>
    <cellStyle name="1_New Ops 2003.xls Chart 3" xfId="1600" xr:uid="{00000000-0005-0000-0000-000010060000}"/>
    <cellStyle name="1_New Ops 2003.xls Chart 4" xfId="1601" xr:uid="{00000000-0005-0000-0000-000011060000}"/>
    <cellStyle name="1_New Ops 2003.xls Chart 5" xfId="1602" xr:uid="{00000000-0005-0000-0000-000012060000}"/>
    <cellStyle name="1_New Ops 2003.xls Chart 6" xfId="1603" xr:uid="{00000000-0005-0000-0000-000013060000}"/>
    <cellStyle name="1_New Ops 2003.xls Chart 7" xfId="1604" xr:uid="{00000000-0005-0000-0000-000014060000}"/>
    <cellStyle name="1_New Ops 2003.xls Chart 8" xfId="1605" xr:uid="{00000000-0005-0000-0000-000015060000}"/>
    <cellStyle name="1_New Ops 2003.xls Chart 9" xfId="1606" xr:uid="{00000000-0005-0000-0000-000016060000}"/>
    <cellStyle name="1_orders" xfId="1607" xr:uid="{00000000-0005-0000-0000-000017060000}"/>
    <cellStyle name="1_pace" xfId="1608" xr:uid="{00000000-0005-0000-0000-000018060000}"/>
    <cellStyle name="1_planp&amp;l_revised_24.02" xfId="1609" xr:uid="{00000000-0005-0000-0000-000019060000}"/>
    <cellStyle name="1_Prod Calc SFS 15 July 2002" xfId="1610" xr:uid="{00000000-0005-0000-0000-00001A060000}"/>
    <cellStyle name="1_Prodcutivity Comparison_101002 Review" xfId="1611" xr:uid="{00000000-0005-0000-0000-00001B060000}"/>
    <cellStyle name="1_Productivity by Quarter Access" xfId="1612" xr:uid="{00000000-0005-0000-0000-00001C060000}"/>
    <cellStyle name="1_Productivity2003AOP" xfId="1613" xr:uid="{00000000-0005-0000-0000-00001D060000}"/>
    <cellStyle name="1_Q1 2003 Actions" xfId="1614" xr:uid="{00000000-0005-0000-0000-00001E060000}"/>
    <cellStyle name="1_Q3 and Q4 Estimate-IS Productivity Staff Mtg" xfId="1615" xr:uid="{00000000-0005-0000-0000-00001F060000}"/>
    <cellStyle name="1_qtr3ESTITALYaug" xfId="1616" xr:uid="{00000000-0005-0000-0000-000020060000}"/>
    <cellStyle name="1_revised Revenue Composition" xfId="1617" xr:uid="{00000000-0005-0000-0000-000021060000}"/>
    <cellStyle name="1_September Scorecard - deep dive" xfId="1618" xr:uid="{00000000-0005-0000-0000-000022060000}"/>
    <cellStyle name="1_SFS Project Deck 2003V1" xfId="1619" xr:uid="{00000000-0005-0000-0000-000023060000}"/>
    <cellStyle name="1_sheets_planrev1" xfId="1620" xr:uid="{00000000-0005-0000-0000-000024060000}"/>
    <cellStyle name="1_Training Plan v3" xfId="1621" xr:uid="{00000000-0005-0000-0000-000025060000}"/>
    <cellStyle name="1_Volume Review_11.09" xfId="1622" xr:uid="{00000000-0005-0000-0000-000026060000}"/>
    <cellStyle name="1_WCap" xfId="1623" xr:uid="{00000000-0005-0000-0000-000027060000}"/>
    <cellStyle name="1000s (0)" xfId="1624" xr:uid="{00000000-0005-0000-0000-000028060000}"/>
    <cellStyle name="10Q" xfId="1625" xr:uid="{00000000-0005-0000-0000-000029060000}"/>
    <cellStyle name="10Q 2" xfId="1626" xr:uid="{00000000-0005-0000-0000-00002A060000}"/>
    <cellStyle name="10Q 2 2" xfId="1627" xr:uid="{00000000-0005-0000-0000-00002B060000}"/>
    <cellStyle name="10Q 2 2 2" xfId="1628" xr:uid="{00000000-0005-0000-0000-00002C060000}"/>
    <cellStyle name="10Q 2 3" xfId="1629" xr:uid="{00000000-0005-0000-0000-00002D060000}"/>
    <cellStyle name="10Q 2 3 2" xfId="1630" xr:uid="{00000000-0005-0000-0000-00002E060000}"/>
    <cellStyle name="10Q 2 4" xfId="1631" xr:uid="{00000000-0005-0000-0000-00002F060000}"/>
    <cellStyle name="10Q 3" xfId="1632" xr:uid="{00000000-0005-0000-0000-000030060000}"/>
    <cellStyle name="10Q 3 2" xfId="1633" xr:uid="{00000000-0005-0000-0000-000031060000}"/>
    <cellStyle name="10Q 4" xfId="1634" xr:uid="{00000000-0005-0000-0000-000032060000}"/>
    <cellStyle name="10Q 4 2" xfId="1635" xr:uid="{00000000-0005-0000-0000-000033060000}"/>
    <cellStyle name="10Q 5" xfId="1636" xr:uid="{00000000-0005-0000-0000-000034060000}"/>
    <cellStyle name="10Q 5 2" xfId="1637" xr:uid="{00000000-0005-0000-0000-000035060000}"/>
    <cellStyle name="10Q 6" xfId="1638" xr:uid="{00000000-0005-0000-0000-000036060000}"/>
    <cellStyle name="10Q 6 2" xfId="1639" xr:uid="{00000000-0005-0000-0000-000037060000}"/>
    <cellStyle name="10Q 7" xfId="1640" xr:uid="{00000000-0005-0000-0000-000038060000}"/>
    <cellStyle name="10Q 7 2" xfId="1641" xr:uid="{00000000-0005-0000-0000-000039060000}"/>
    <cellStyle name="2" xfId="1642" xr:uid="{00000000-0005-0000-0000-00003A060000}"/>
    <cellStyle name="2 2" xfId="1643" xr:uid="{00000000-0005-0000-0000-00003B060000}"/>
    <cellStyle name="2 2 2" xfId="1644" xr:uid="{00000000-0005-0000-0000-00003C060000}"/>
    <cellStyle name="2 2 2 2" xfId="1645" xr:uid="{00000000-0005-0000-0000-00003D060000}"/>
    <cellStyle name="2 2 3" xfId="1646" xr:uid="{00000000-0005-0000-0000-00003E060000}"/>
    <cellStyle name="2 2 3 2" xfId="1647" xr:uid="{00000000-0005-0000-0000-00003F060000}"/>
    <cellStyle name="2 2 4" xfId="1648" xr:uid="{00000000-0005-0000-0000-000040060000}"/>
    <cellStyle name="2 3" xfId="1649" xr:uid="{00000000-0005-0000-0000-000041060000}"/>
    <cellStyle name="2 3 2" xfId="1650" xr:uid="{00000000-0005-0000-0000-000042060000}"/>
    <cellStyle name="2 3 2 2" xfId="1651" xr:uid="{00000000-0005-0000-0000-000043060000}"/>
    <cellStyle name="2 3 3" xfId="1652" xr:uid="{00000000-0005-0000-0000-000044060000}"/>
    <cellStyle name="2 3 3 2" xfId="1653" xr:uid="{00000000-0005-0000-0000-000045060000}"/>
    <cellStyle name="2 3 4" xfId="1654" xr:uid="{00000000-0005-0000-0000-000046060000}"/>
    <cellStyle name="2 4" xfId="1655" xr:uid="{00000000-0005-0000-0000-000047060000}"/>
    <cellStyle name="2 4 2" xfId="1656" xr:uid="{00000000-0005-0000-0000-000048060000}"/>
    <cellStyle name="2 4 2 2" xfId="1657" xr:uid="{00000000-0005-0000-0000-000049060000}"/>
    <cellStyle name="2 4 3" xfId="1658" xr:uid="{00000000-0005-0000-0000-00004A060000}"/>
    <cellStyle name="2 4 3 2" xfId="1659" xr:uid="{00000000-0005-0000-0000-00004B060000}"/>
    <cellStyle name="2 4 4" xfId="1660" xr:uid="{00000000-0005-0000-0000-00004C060000}"/>
    <cellStyle name="2 5" xfId="1661" xr:uid="{00000000-0005-0000-0000-00004D060000}"/>
    <cellStyle name="2 5 2" xfId="1662" xr:uid="{00000000-0005-0000-0000-00004E060000}"/>
    <cellStyle name="2 6" xfId="1663" xr:uid="{00000000-0005-0000-0000-00004F060000}"/>
    <cellStyle name="2 6 2" xfId="1664" xr:uid="{00000000-0005-0000-0000-000050060000}"/>
    <cellStyle name="2 7" xfId="1665" xr:uid="{00000000-0005-0000-0000-000051060000}"/>
    <cellStyle name="2 8" xfId="1666" xr:uid="{00000000-0005-0000-0000-000052060000}"/>
    <cellStyle name="2 Decimal Places" xfId="1667" xr:uid="{00000000-0005-0000-0000-000053060000}"/>
    <cellStyle name="2_Sheet1" xfId="1668" xr:uid="{00000000-0005-0000-0000-000054060000}"/>
    <cellStyle name="2_Sheet1 2" xfId="1669" xr:uid="{00000000-0005-0000-0000-000055060000}"/>
    <cellStyle name="2_Sheet1 2 2" xfId="1670" xr:uid="{00000000-0005-0000-0000-000056060000}"/>
    <cellStyle name="2_Sheet1 2 2 2" xfId="1671" xr:uid="{00000000-0005-0000-0000-000057060000}"/>
    <cellStyle name="2_Sheet1 2 3" xfId="1672" xr:uid="{00000000-0005-0000-0000-000058060000}"/>
    <cellStyle name="2_Sheet1 2 3 2" xfId="1673" xr:uid="{00000000-0005-0000-0000-000059060000}"/>
    <cellStyle name="2_Sheet1 2 4" xfId="1674" xr:uid="{00000000-0005-0000-0000-00005A060000}"/>
    <cellStyle name="2_Sheet1 3" xfId="1675" xr:uid="{00000000-0005-0000-0000-00005B060000}"/>
    <cellStyle name="2_Sheet1 3 2" xfId="1676" xr:uid="{00000000-0005-0000-0000-00005C060000}"/>
    <cellStyle name="2_Sheet1 3 2 2" xfId="1677" xr:uid="{00000000-0005-0000-0000-00005D060000}"/>
    <cellStyle name="2_Sheet1 3 3" xfId="1678" xr:uid="{00000000-0005-0000-0000-00005E060000}"/>
    <cellStyle name="2_Sheet1 3 3 2" xfId="1679" xr:uid="{00000000-0005-0000-0000-00005F060000}"/>
    <cellStyle name="2_Sheet1 3 4" xfId="1680" xr:uid="{00000000-0005-0000-0000-000060060000}"/>
    <cellStyle name="2_Sheet1 4" xfId="1681" xr:uid="{00000000-0005-0000-0000-000061060000}"/>
    <cellStyle name="2_Sheet1 4 2" xfId="1682" xr:uid="{00000000-0005-0000-0000-000062060000}"/>
    <cellStyle name="2_Sheet1 4 2 2" xfId="1683" xr:uid="{00000000-0005-0000-0000-000063060000}"/>
    <cellStyle name="2_Sheet1 4 3" xfId="1684" xr:uid="{00000000-0005-0000-0000-000064060000}"/>
    <cellStyle name="2_Sheet1 4 3 2" xfId="1685" xr:uid="{00000000-0005-0000-0000-000065060000}"/>
    <cellStyle name="2_Sheet1 4 4" xfId="1686" xr:uid="{00000000-0005-0000-0000-000066060000}"/>
    <cellStyle name="2_Sheet1 5" xfId="1687" xr:uid="{00000000-0005-0000-0000-000067060000}"/>
    <cellStyle name="2_Sheet1 5 2" xfId="1688" xr:uid="{00000000-0005-0000-0000-000068060000}"/>
    <cellStyle name="2_Sheet1 6" xfId="1689" xr:uid="{00000000-0005-0000-0000-000069060000}"/>
    <cellStyle name="2_Sheet1 6 2" xfId="1690" xr:uid="{00000000-0005-0000-0000-00006A060000}"/>
    <cellStyle name="2_Sheet1 7" xfId="1691" xr:uid="{00000000-0005-0000-0000-00006B060000}"/>
    <cellStyle name="2_Sheet1 8" xfId="1692" xr:uid="{00000000-0005-0000-0000-00006C060000}"/>
    <cellStyle name="2_Stress" xfId="1693" xr:uid="{00000000-0005-0000-0000-00006D060000}"/>
    <cellStyle name="2_Stress 2" xfId="1694" xr:uid="{00000000-0005-0000-0000-00006E060000}"/>
    <cellStyle name="2_Stress 2 2" xfId="1695" xr:uid="{00000000-0005-0000-0000-00006F060000}"/>
    <cellStyle name="2_Stress 2 2 2" xfId="1696" xr:uid="{00000000-0005-0000-0000-000070060000}"/>
    <cellStyle name="2_Stress 2 3" xfId="1697" xr:uid="{00000000-0005-0000-0000-000071060000}"/>
    <cellStyle name="2_Stress 2 3 2" xfId="1698" xr:uid="{00000000-0005-0000-0000-000072060000}"/>
    <cellStyle name="2_Stress 2 4" xfId="1699" xr:uid="{00000000-0005-0000-0000-000073060000}"/>
    <cellStyle name="2_Stress 3" xfId="1700" xr:uid="{00000000-0005-0000-0000-000074060000}"/>
    <cellStyle name="2_Stress 3 2" xfId="1701" xr:uid="{00000000-0005-0000-0000-000075060000}"/>
    <cellStyle name="2_Stress 3 2 2" xfId="1702" xr:uid="{00000000-0005-0000-0000-000076060000}"/>
    <cellStyle name="2_Stress 3 3" xfId="1703" xr:uid="{00000000-0005-0000-0000-000077060000}"/>
    <cellStyle name="2_Stress 3 3 2" xfId="1704" xr:uid="{00000000-0005-0000-0000-000078060000}"/>
    <cellStyle name="2_Stress 3 4" xfId="1705" xr:uid="{00000000-0005-0000-0000-000079060000}"/>
    <cellStyle name="2_Stress 4" xfId="1706" xr:uid="{00000000-0005-0000-0000-00007A060000}"/>
    <cellStyle name="2_Stress 4 2" xfId="1707" xr:uid="{00000000-0005-0000-0000-00007B060000}"/>
    <cellStyle name="2_Stress 4 2 2" xfId="1708" xr:uid="{00000000-0005-0000-0000-00007C060000}"/>
    <cellStyle name="2_Stress 4 3" xfId="1709" xr:uid="{00000000-0005-0000-0000-00007D060000}"/>
    <cellStyle name="2_Stress 4 3 2" xfId="1710" xr:uid="{00000000-0005-0000-0000-00007E060000}"/>
    <cellStyle name="2_Stress 4 4" xfId="1711" xr:uid="{00000000-0005-0000-0000-00007F060000}"/>
    <cellStyle name="2_Stress 5" xfId="1712" xr:uid="{00000000-0005-0000-0000-000080060000}"/>
    <cellStyle name="2_Stress 5 2" xfId="1713" xr:uid="{00000000-0005-0000-0000-000081060000}"/>
    <cellStyle name="2_Stress 6" xfId="1714" xr:uid="{00000000-0005-0000-0000-000082060000}"/>
    <cellStyle name="2_Stress 6 2" xfId="1715" xr:uid="{00000000-0005-0000-0000-000083060000}"/>
    <cellStyle name="2_Stress 7" xfId="1716" xr:uid="{00000000-0005-0000-0000-000084060000}"/>
    <cellStyle name="2_Stress 8" xfId="1717" xr:uid="{00000000-0005-0000-0000-000085060000}"/>
    <cellStyle name="20% - Accent1" xfId="23" builtinId="30" customBuiltin="1"/>
    <cellStyle name="20% - Accent2" xfId="27" builtinId="34" customBuiltin="1"/>
    <cellStyle name="20% - Accent3" xfId="31" builtinId="38" customBuiltin="1"/>
    <cellStyle name="20% - Accent4" xfId="35" builtinId="42" customBuiltin="1"/>
    <cellStyle name="20% - Accent5" xfId="39" builtinId="46" customBuiltin="1"/>
    <cellStyle name="20% - Accent6" xfId="43" builtinId="50" customBuiltin="1"/>
    <cellStyle name="3 V1.00 CORE IMAGE (5200MM3.100 08/01/97)_x000d__x000a__x000d__x000a_[windows]_x000d__x000a_;spooler=yes_x000d__x000a_load=nw" xfId="1718" xr:uid="{00000000-0005-0000-0000-00008C060000}"/>
    <cellStyle name="40% - Accent1" xfId="24" builtinId="31" customBuiltin="1"/>
    <cellStyle name="40% - Accent1 2" xfId="1719" xr:uid="{00000000-0005-0000-0000-00008E060000}"/>
    <cellStyle name="40% - Accent2" xfId="28" builtinId="35" customBuiltin="1"/>
    <cellStyle name="40% - Accent3" xfId="32" builtinId="39" customBuiltin="1"/>
    <cellStyle name="40% - Accent4" xfId="36" builtinId="43" customBuiltin="1"/>
    <cellStyle name="40% - Accent5" xfId="40" builtinId="47" customBuiltin="1"/>
    <cellStyle name="40% - Accent6" xfId="44" builtinId="51" customBuiltin="1"/>
    <cellStyle name="572737" xfId="1720" xr:uid="{00000000-0005-0000-0000-000094060000}"/>
    <cellStyle name="60% - Accent1" xfId="25" builtinId="32" customBuiltin="1"/>
    <cellStyle name="60% - Accent1 2" xfId="1721" xr:uid="{00000000-0005-0000-0000-000096060000}"/>
    <cellStyle name="60% - Accent2" xfId="29" builtinId="36" customBuiltin="1"/>
    <cellStyle name="60% - Accent3" xfId="33" builtinId="40" customBuiltin="1"/>
    <cellStyle name="60% - Accent4" xfId="37" builtinId="44" customBuiltin="1"/>
    <cellStyle name="60% - Accent5" xfId="41" builtinId="48" customBuiltin="1"/>
    <cellStyle name="60% - Accent6" xfId="45" builtinId="52" customBuiltin="1"/>
    <cellStyle name="752131" xfId="1722" xr:uid="{00000000-0005-0000-0000-00009C060000}"/>
    <cellStyle name="7978" xfId="1723" xr:uid="{00000000-0005-0000-0000-00009D060000}"/>
    <cellStyle name="7978 2" xfId="1724" xr:uid="{00000000-0005-0000-0000-00009E060000}"/>
    <cellStyle name="7978 3" xfId="1725" xr:uid="{00000000-0005-0000-0000-00009F060000}"/>
    <cellStyle name="7978 4" xfId="1726" xr:uid="{00000000-0005-0000-0000-0000A0060000}"/>
    <cellStyle name="7978 5" xfId="1727" xr:uid="{00000000-0005-0000-0000-0000A1060000}"/>
    <cellStyle name="85" xfId="1728" xr:uid="{00000000-0005-0000-0000-0000A2060000}"/>
    <cellStyle name="90" xfId="1729" xr:uid="{00000000-0005-0000-0000-0000A3060000}"/>
    <cellStyle name="A satisfied Microsoft Office user" xfId="1730" xr:uid="{00000000-0005-0000-0000-0000A4060000}"/>
    <cellStyle name="ac" xfId="1731" xr:uid="{00000000-0005-0000-0000-0000A5060000}"/>
    <cellStyle name="ac 2" xfId="1732" xr:uid="{00000000-0005-0000-0000-0000A6060000}"/>
    <cellStyle name="ac 2 2" xfId="1733" xr:uid="{00000000-0005-0000-0000-0000A7060000}"/>
    <cellStyle name="ac 2 2 2" xfId="1734" xr:uid="{00000000-0005-0000-0000-0000A8060000}"/>
    <cellStyle name="ac 2 3" xfId="1735" xr:uid="{00000000-0005-0000-0000-0000A9060000}"/>
    <cellStyle name="ac 2 3 2" xfId="1736" xr:uid="{00000000-0005-0000-0000-0000AA060000}"/>
    <cellStyle name="ac 2 4" xfId="1737" xr:uid="{00000000-0005-0000-0000-0000AB060000}"/>
    <cellStyle name="ac 3" xfId="1738" xr:uid="{00000000-0005-0000-0000-0000AC060000}"/>
    <cellStyle name="ac 3 2" xfId="1739" xr:uid="{00000000-0005-0000-0000-0000AD060000}"/>
    <cellStyle name="ac 3 2 2" xfId="1740" xr:uid="{00000000-0005-0000-0000-0000AE060000}"/>
    <cellStyle name="ac 3 3" xfId="1741" xr:uid="{00000000-0005-0000-0000-0000AF060000}"/>
    <cellStyle name="ac 3 3 2" xfId="1742" xr:uid="{00000000-0005-0000-0000-0000B0060000}"/>
    <cellStyle name="ac 3 4" xfId="1743" xr:uid="{00000000-0005-0000-0000-0000B1060000}"/>
    <cellStyle name="ac 4" xfId="1744" xr:uid="{00000000-0005-0000-0000-0000B2060000}"/>
    <cellStyle name="ac 4 2" xfId="1745" xr:uid="{00000000-0005-0000-0000-0000B3060000}"/>
    <cellStyle name="ac 5" xfId="1746" xr:uid="{00000000-0005-0000-0000-0000B4060000}"/>
    <cellStyle name="ac 5 2" xfId="1747" xr:uid="{00000000-0005-0000-0000-0000B5060000}"/>
    <cellStyle name="ac 6" xfId="1748" xr:uid="{00000000-0005-0000-0000-0000B6060000}"/>
    <cellStyle name="ac 6 2" xfId="1749" xr:uid="{00000000-0005-0000-0000-0000B7060000}"/>
    <cellStyle name="ac 7" xfId="1750" xr:uid="{00000000-0005-0000-0000-0000B8060000}"/>
    <cellStyle name="ac 7 2" xfId="1751" xr:uid="{00000000-0005-0000-0000-0000B9060000}"/>
    <cellStyle name="ac 8" xfId="1752" xr:uid="{00000000-0005-0000-0000-0000BA060000}"/>
    <cellStyle name="ac 8 2" xfId="1753" xr:uid="{00000000-0005-0000-0000-0000BB060000}"/>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accounting" xfId="1754" xr:uid="{00000000-0005-0000-0000-0000C2060000}"/>
    <cellStyle name="accounting 10" xfId="1755" xr:uid="{00000000-0005-0000-0000-0000C3060000}"/>
    <cellStyle name="accounting 10 2" xfId="1756" xr:uid="{00000000-0005-0000-0000-0000C4060000}"/>
    <cellStyle name="accounting 2" xfId="1757" xr:uid="{00000000-0005-0000-0000-0000C5060000}"/>
    <cellStyle name="accounting 2 2" xfId="1758" xr:uid="{00000000-0005-0000-0000-0000C6060000}"/>
    <cellStyle name="accounting 2 2 2" xfId="1759" xr:uid="{00000000-0005-0000-0000-0000C7060000}"/>
    <cellStyle name="accounting 2 2 2 2" xfId="1760" xr:uid="{00000000-0005-0000-0000-0000C8060000}"/>
    <cellStyle name="accounting 2 2 3" xfId="1761" xr:uid="{00000000-0005-0000-0000-0000C9060000}"/>
    <cellStyle name="accounting 2 2 3 2" xfId="1762" xr:uid="{00000000-0005-0000-0000-0000CA060000}"/>
    <cellStyle name="accounting 2 2 4" xfId="1763" xr:uid="{00000000-0005-0000-0000-0000CB060000}"/>
    <cellStyle name="accounting 2 3" xfId="1764" xr:uid="{00000000-0005-0000-0000-0000CC060000}"/>
    <cellStyle name="accounting 2 3 2" xfId="1765" xr:uid="{00000000-0005-0000-0000-0000CD060000}"/>
    <cellStyle name="accounting 2 3 2 2" xfId="1766" xr:uid="{00000000-0005-0000-0000-0000CE060000}"/>
    <cellStyle name="accounting 2 3 3" xfId="1767" xr:uid="{00000000-0005-0000-0000-0000CF060000}"/>
    <cellStyle name="accounting 2 3 3 2" xfId="1768" xr:uid="{00000000-0005-0000-0000-0000D0060000}"/>
    <cellStyle name="accounting 2 3 4" xfId="1769" xr:uid="{00000000-0005-0000-0000-0000D1060000}"/>
    <cellStyle name="accounting 2 4" xfId="1770" xr:uid="{00000000-0005-0000-0000-0000D2060000}"/>
    <cellStyle name="accounting 2 4 2" xfId="1771" xr:uid="{00000000-0005-0000-0000-0000D3060000}"/>
    <cellStyle name="accounting 2 5" xfId="1772" xr:uid="{00000000-0005-0000-0000-0000D4060000}"/>
    <cellStyle name="accounting 2 5 2" xfId="1773" xr:uid="{00000000-0005-0000-0000-0000D5060000}"/>
    <cellStyle name="accounting 2 6" xfId="1774" xr:uid="{00000000-0005-0000-0000-0000D6060000}"/>
    <cellStyle name="accounting 2 6 2" xfId="1775" xr:uid="{00000000-0005-0000-0000-0000D7060000}"/>
    <cellStyle name="accounting 2 7" xfId="1776" xr:uid="{00000000-0005-0000-0000-0000D8060000}"/>
    <cellStyle name="accounting 2 7 2" xfId="1777" xr:uid="{00000000-0005-0000-0000-0000D9060000}"/>
    <cellStyle name="accounting 2 8" xfId="1778" xr:uid="{00000000-0005-0000-0000-0000DA060000}"/>
    <cellStyle name="accounting 2 8 2" xfId="1779" xr:uid="{00000000-0005-0000-0000-0000DB060000}"/>
    <cellStyle name="accounting 3" xfId="1780" xr:uid="{00000000-0005-0000-0000-0000DC060000}"/>
    <cellStyle name="accounting 3 2" xfId="1781" xr:uid="{00000000-0005-0000-0000-0000DD060000}"/>
    <cellStyle name="accounting 3 2 2" xfId="1782" xr:uid="{00000000-0005-0000-0000-0000DE060000}"/>
    <cellStyle name="accounting 3 2 2 2" xfId="1783" xr:uid="{00000000-0005-0000-0000-0000DF060000}"/>
    <cellStyle name="accounting 3 2 3" xfId="1784" xr:uid="{00000000-0005-0000-0000-0000E0060000}"/>
    <cellStyle name="accounting 3 2 3 2" xfId="1785" xr:uid="{00000000-0005-0000-0000-0000E1060000}"/>
    <cellStyle name="accounting 3 2 4" xfId="1786" xr:uid="{00000000-0005-0000-0000-0000E2060000}"/>
    <cellStyle name="accounting 3 3" xfId="1787" xr:uid="{00000000-0005-0000-0000-0000E3060000}"/>
    <cellStyle name="accounting 3 3 2" xfId="1788" xr:uid="{00000000-0005-0000-0000-0000E4060000}"/>
    <cellStyle name="accounting 3 3 2 2" xfId="1789" xr:uid="{00000000-0005-0000-0000-0000E5060000}"/>
    <cellStyle name="accounting 3 3 3" xfId="1790" xr:uid="{00000000-0005-0000-0000-0000E6060000}"/>
    <cellStyle name="accounting 3 3 3 2" xfId="1791" xr:uid="{00000000-0005-0000-0000-0000E7060000}"/>
    <cellStyle name="accounting 3 3 4" xfId="1792" xr:uid="{00000000-0005-0000-0000-0000E8060000}"/>
    <cellStyle name="accounting 3 4" xfId="1793" xr:uid="{00000000-0005-0000-0000-0000E9060000}"/>
    <cellStyle name="accounting 3 4 2" xfId="1794" xr:uid="{00000000-0005-0000-0000-0000EA060000}"/>
    <cellStyle name="accounting 3 5" xfId="1795" xr:uid="{00000000-0005-0000-0000-0000EB060000}"/>
    <cellStyle name="accounting 3 5 2" xfId="1796" xr:uid="{00000000-0005-0000-0000-0000EC060000}"/>
    <cellStyle name="accounting 3 6" xfId="1797" xr:uid="{00000000-0005-0000-0000-0000ED060000}"/>
    <cellStyle name="accounting 3 6 2" xfId="1798" xr:uid="{00000000-0005-0000-0000-0000EE060000}"/>
    <cellStyle name="accounting 3 7" xfId="1799" xr:uid="{00000000-0005-0000-0000-0000EF060000}"/>
    <cellStyle name="accounting 3 7 2" xfId="1800" xr:uid="{00000000-0005-0000-0000-0000F0060000}"/>
    <cellStyle name="accounting 3 8" xfId="1801" xr:uid="{00000000-0005-0000-0000-0000F1060000}"/>
    <cellStyle name="accounting 3 8 2" xfId="1802" xr:uid="{00000000-0005-0000-0000-0000F2060000}"/>
    <cellStyle name="accounting 4" xfId="1803" xr:uid="{00000000-0005-0000-0000-0000F3060000}"/>
    <cellStyle name="accounting 4 2" xfId="1804" xr:uid="{00000000-0005-0000-0000-0000F4060000}"/>
    <cellStyle name="accounting 4 2 2" xfId="1805" xr:uid="{00000000-0005-0000-0000-0000F5060000}"/>
    <cellStyle name="accounting 4 3" xfId="1806" xr:uid="{00000000-0005-0000-0000-0000F6060000}"/>
    <cellStyle name="accounting 4 3 2" xfId="1807" xr:uid="{00000000-0005-0000-0000-0000F7060000}"/>
    <cellStyle name="accounting 4 4" xfId="1808" xr:uid="{00000000-0005-0000-0000-0000F8060000}"/>
    <cellStyle name="accounting 5" xfId="1809" xr:uid="{00000000-0005-0000-0000-0000F9060000}"/>
    <cellStyle name="accounting 5 2" xfId="1810" xr:uid="{00000000-0005-0000-0000-0000FA060000}"/>
    <cellStyle name="accounting 5 2 2" xfId="1811" xr:uid="{00000000-0005-0000-0000-0000FB060000}"/>
    <cellStyle name="accounting 5 3" xfId="1812" xr:uid="{00000000-0005-0000-0000-0000FC060000}"/>
    <cellStyle name="accounting 5 3 2" xfId="1813" xr:uid="{00000000-0005-0000-0000-0000FD060000}"/>
    <cellStyle name="accounting 5 4" xfId="1814" xr:uid="{00000000-0005-0000-0000-0000FE060000}"/>
    <cellStyle name="accounting 6" xfId="1815" xr:uid="{00000000-0005-0000-0000-0000FF060000}"/>
    <cellStyle name="accounting 6 2" xfId="1816" xr:uid="{00000000-0005-0000-0000-000000070000}"/>
    <cellStyle name="accounting 7" xfId="1817" xr:uid="{00000000-0005-0000-0000-000001070000}"/>
    <cellStyle name="accounting 7 2" xfId="1818" xr:uid="{00000000-0005-0000-0000-000002070000}"/>
    <cellStyle name="accounting 8" xfId="1819" xr:uid="{00000000-0005-0000-0000-000003070000}"/>
    <cellStyle name="accounting 8 2" xfId="1820" xr:uid="{00000000-0005-0000-0000-000004070000}"/>
    <cellStyle name="accounting 9" xfId="1821" xr:uid="{00000000-0005-0000-0000-000005070000}"/>
    <cellStyle name="accounting 9 2" xfId="1822" xr:uid="{00000000-0005-0000-0000-000006070000}"/>
    <cellStyle name="Acct Level 2" xfId="1823" xr:uid="{00000000-0005-0000-0000-000007070000}"/>
    <cellStyle name="Accy [0]" xfId="1824" xr:uid="{00000000-0005-0000-0000-000008070000}"/>
    <cellStyle name="Accy [1]" xfId="1825" xr:uid="{00000000-0005-0000-0000-000009070000}"/>
    <cellStyle name="Accy [2]" xfId="1826" xr:uid="{00000000-0005-0000-0000-00000A070000}"/>
    <cellStyle name="Accy$ [0]" xfId="1827" xr:uid="{00000000-0005-0000-0000-00000B070000}"/>
    <cellStyle name="Accy$ [1]" xfId="1828" xr:uid="{00000000-0005-0000-0000-00000C070000}"/>
    <cellStyle name="Accy$ [2]" xfId="1829" xr:uid="{00000000-0005-0000-0000-00000D070000}"/>
    <cellStyle name="aCDSDev" xfId="1830" xr:uid="{00000000-0005-0000-0000-00000E070000}"/>
    <cellStyle name="aCDSDev 2" xfId="1831" xr:uid="{00000000-0005-0000-0000-00000F070000}"/>
    <cellStyle name="aCDSDev 2 2" xfId="1832" xr:uid="{00000000-0005-0000-0000-000010070000}"/>
    <cellStyle name="aCDSDev 2 2 2" xfId="1833" xr:uid="{00000000-0005-0000-0000-000011070000}"/>
    <cellStyle name="aCDSDev 2 3" xfId="1834" xr:uid="{00000000-0005-0000-0000-000012070000}"/>
    <cellStyle name="aCDSDev 3" xfId="1835" xr:uid="{00000000-0005-0000-0000-000013070000}"/>
    <cellStyle name="aCDSDev 3 2" xfId="1836" xr:uid="{00000000-0005-0000-0000-000014070000}"/>
    <cellStyle name="aCDSDev 3 2 2" xfId="1837" xr:uid="{00000000-0005-0000-0000-000015070000}"/>
    <cellStyle name="aCDSDev 3 3" xfId="1838" xr:uid="{00000000-0005-0000-0000-000016070000}"/>
    <cellStyle name="aCDSDev 4" xfId="1839" xr:uid="{00000000-0005-0000-0000-000017070000}"/>
    <cellStyle name="aCDSDev 4 2" xfId="1840" xr:uid="{00000000-0005-0000-0000-000018070000}"/>
    <cellStyle name="aCDSDev 5" xfId="1841" xr:uid="{00000000-0005-0000-0000-000019070000}"/>
    <cellStyle name="aCDSDev 6" xfId="1842" xr:uid="{00000000-0005-0000-0000-00001A070000}"/>
    <cellStyle name="aCDSDev 7" xfId="1843" xr:uid="{00000000-0005-0000-0000-00001B070000}"/>
    <cellStyle name="acomma" xfId="1844" xr:uid="{00000000-0005-0000-0000-00001C070000}"/>
    <cellStyle name="Actual Date" xfId="1845" xr:uid="{00000000-0005-0000-0000-00001D070000}"/>
    <cellStyle name="Actual Date 2" xfId="1846" xr:uid="{00000000-0005-0000-0000-00001E070000}"/>
    <cellStyle name="Add" xfId="1847" xr:uid="{00000000-0005-0000-0000-00001F070000}"/>
    <cellStyle name="AFE" xfId="1848" xr:uid="{00000000-0005-0000-0000-000020070000}"/>
    <cellStyle name="aFXDev" xfId="1849" xr:uid="{00000000-0005-0000-0000-000021070000}"/>
    <cellStyle name="aFXDev 2" xfId="1850" xr:uid="{00000000-0005-0000-0000-000022070000}"/>
    <cellStyle name="aFXDev 2 2" xfId="1851" xr:uid="{00000000-0005-0000-0000-000023070000}"/>
    <cellStyle name="aFXDev 2 2 2" xfId="1852" xr:uid="{00000000-0005-0000-0000-000024070000}"/>
    <cellStyle name="aFXDev 2 3" xfId="1853" xr:uid="{00000000-0005-0000-0000-000025070000}"/>
    <cellStyle name="aFXDev 3" xfId="1854" xr:uid="{00000000-0005-0000-0000-000026070000}"/>
    <cellStyle name="aFXDev 3 2" xfId="1855" xr:uid="{00000000-0005-0000-0000-000027070000}"/>
    <cellStyle name="aFXDev 3 2 2" xfId="1856" xr:uid="{00000000-0005-0000-0000-000028070000}"/>
    <cellStyle name="aFXDev 3 3" xfId="1857" xr:uid="{00000000-0005-0000-0000-000029070000}"/>
    <cellStyle name="aFXDev 4" xfId="1858" xr:uid="{00000000-0005-0000-0000-00002A070000}"/>
    <cellStyle name="aFXDev 4 2" xfId="1859" xr:uid="{00000000-0005-0000-0000-00002B070000}"/>
    <cellStyle name="aFXDev 5" xfId="1860" xr:uid="{00000000-0005-0000-0000-00002C070000}"/>
    <cellStyle name="aFXDev 6" xfId="1861" xr:uid="{00000000-0005-0000-0000-00002D070000}"/>
    <cellStyle name="aFXDev 7" xfId="1862" xr:uid="{00000000-0005-0000-0000-00002E070000}"/>
    <cellStyle name="aGreeks" xfId="1863" xr:uid="{00000000-0005-0000-0000-00002F070000}"/>
    <cellStyle name="ALPercent" xfId="1864" xr:uid="{00000000-0005-0000-0000-000030070000}"/>
    <cellStyle name="args.style" xfId="1865" xr:uid="{00000000-0005-0000-0000-000031070000}"/>
    <cellStyle name="Assumptions" xfId="1866" xr:uid="{00000000-0005-0000-0000-000032070000}"/>
    <cellStyle name="Assumptions 2" xfId="1867" xr:uid="{00000000-0005-0000-0000-000033070000}"/>
    <cellStyle name="Assumptions 3" xfId="1868" xr:uid="{00000000-0005-0000-0000-000034070000}"/>
    <cellStyle name="aSTRIRDEV" xfId="1869" xr:uid="{00000000-0005-0000-0000-000035070000}"/>
    <cellStyle name="aSTRIRDEV 2" xfId="1870" xr:uid="{00000000-0005-0000-0000-000036070000}"/>
    <cellStyle name="aSTRIRDEV 3" xfId="1871" xr:uid="{00000000-0005-0000-0000-000037070000}"/>
    <cellStyle name="aSTRIRDEV 4" xfId="1872" xr:uid="{00000000-0005-0000-0000-000038070000}"/>
    <cellStyle name="AutoFormat Options" xfId="1873" xr:uid="{00000000-0005-0000-0000-000039070000}"/>
    <cellStyle name="Availability" xfId="1874" xr:uid="{00000000-0005-0000-0000-00003A070000}"/>
    <cellStyle name="Background" xfId="1875" xr:uid="{00000000-0005-0000-0000-00003B070000}"/>
    <cellStyle name="Bad" xfId="12" builtinId="27" customBuiltin="1"/>
    <cellStyle name="Balances" xfId="1876" xr:uid="{00000000-0005-0000-0000-00003D070000}"/>
    <cellStyle name="Balances 2" xfId="1877" xr:uid="{00000000-0005-0000-0000-00003E070000}"/>
    <cellStyle name="Balances 3" xfId="1878" xr:uid="{00000000-0005-0000-0000-00003F070000}"/>
    <cellStyle name="Balances 4" xfId="1879" xr:uid="{00000000-0005-0000-0000-000040070000}"/>
    <cellStyle name="BalanceSheet" xfId="1880" xr:uid="{00000000-0005-0000-0000-000041070000}"/>
    <cellStyle name="BalcSht" xfId="1881" xr:uid="{00000000-0005-0000-0000-000042070000}"/>
    <cellStyle name="BalcSht 2" xfId="1882" xr:uid="{00000000-0005-0000-0000-000043070000}"/>
    <cellStyle name="BalcSht 3" xfId="1883" xr:uid="{00000000-0005-0000-0000-000044070000}"/>
    <cellStyle name="BGT" xfId="1884" xr:uid="{00000000-0005-0000-0000-000045070000}"/>
    <cellStyle name="BGT 2" xfId="1885" xr:uid="{00000000-0005-0000-0000-000046070000}"/>
    <cellStyle name="Black" xfId="1886" xr:uid="{00000000-0005-0000-0000-000047070000}"/>
    <cellStyle name="Black 2" xfId="1887" xr:uid="{00000000-0005-0000-0000-000048070000}"/>
    <cellStyle name="Black 3" xfId="1888" xr:uid="{00000000-0005-0000-0000-000049070000}"/>
    <cellStyle name="Black 4" xfId="1889" xr:uid="{00000000-0005-0000-0000-00004A070000}"/>
    <cellStyle name="Black bold" xfId="1890" xr:uid="{00000000-0005-0000-0000-00004B070000}"/>
    <cellStyle name="Black_ALLOWANCES" xfId="1891" xr:uid="{00000000-0005-0000-0000-00004C070000}"/>
    <cellStyle name="BlotterComment" xfId="1892" xr:uid="{00000000-0005-0000-0000-00004D070000}"/>
    <cellStyle name="BlotterComment 2" xfId="1893" xr:uid="{00000000-0005-0000-0000-00004E070000}"/>
    <cellStyle name="BlotterComment 3" xfId="1894" xr:uid="{00000000-0005-0000-0000-00004F070000}"/>
    <cellStyle name="Blue" xfId="1895" xr:uid="{00000000-0005-0000-0000-000050070000}"/>
    <cellStyle name="Blue bold" xfId="1896" xr:uid="{00000000-0005-0000-0000-000051070000}"/>
    <cellStyle name="Blue bold 2" xfId="1897" xr:uid="{00000000-0005-0000-0000-000052070000}"/>
    <cellStyle name="Blue bold 2 2" xfId="1898" xr:uid="{00000000-0005-0000-0000-000053070000}"/>
    <cellStyle name="Blue bold 2 2 2" xfId="1899" xr:uid="{00000000-0005-0000-0000-000054070000}"/>
    <cellStyle name="Blue bold 2 2 2 2" xfId="1900" xr:uid="{00000000-0005-0000-0000-000055070000}"/>
    <cellStyle name="Blue bold 2 2 3" xfId="1901" xr:uid="{00000000-0005-0000-0000-000056070000}"/>
    <cellStyle name="Blue bold 2 2 3 2" xfId="1902" xr:uid="{00000000-0005-0000-0000-000057070000}"/>
    <cellStyle name="Blue bold 2 2 4" xfId="1903" xr:uid="{00000000-0005-0000-0000-000058070000}"/>
    <cellStyle name="Blue bold 2 3" xfId="1904" xr:uid="{00000000-0005-0000-0000-000059070000}"/>
    <cellStyle name="Blue bold 2 3 2" xfId="1905" xr:uid="{00000000-0005-0000-0000-00005A070000}"/>
    <cellStyle name="Blue bold 2 4" xfId="1906" xr:uid="{00000000-0005-0000-0000-00005B070000}"/>
    <cellStyle name="Blue bold 2 4 2" xfId="1907" xr:uid="{00000000-0005-0000-0000-00005C070000}"/>
    <cellStyle name="Blue bold 2 5" xfId="1908" xr:uid="{00000000-0005-0000-0000-00005D070000}"/>
    <cellStyle name="Blue bold 2 5 2" xfId="1909" xr:uid="{00000000-0005-0000-0000-00005E070000}"/>
    <cellStyle name="Blue bold 2 6" xfId="1910" xr:uid="{00000000-0005-0000-0000-00005F070000}"/>
    <cellStyle name="Blue bold 2 6 2" xfId="1911" xr:uid="{00000000-0005-0000-0000-000060070000}"/>
    <cellStyle name="Blue bold 2 7" xfId="1912" xr:uid="{00000000-0005-0000-0000-000061070000}"/>
    <cellStyle name="Blue bold 2 7 2" xfId="1913" xr:uid="{00000000-0005-0000-0000-000062070000}"/>
    <cellStyle name="Blue bold 3" xfId="1914" xr:uid="{00000000-0005-0000-0000-000063070000}"/>
    <cellStyle name="Blue bold 3 2" xfId="1915" xr:uid="{00000000-0005-0000-0000-000064070000}"/>
    <cellStyle name="Blue bold 3 2 2" xfId="1916" xr:uid="{00000000-0005-0000-0000-000065070000}"/>
    <cellStyle name="Blue bold 3 2 2 2" xfId="1917" xr:uid="{00000000-0005-0000-0000-000066070000}"/>
    <cellStyle name="Blue bold 3 2 3" xfId="1918" xr:uid="{00000000-0005-0000-0000-000067070000}"/>
    <cellStyle name="Blue bold 3 2 3 2" xfId="1919" xr:uid="{00000000-0005-0000-0000-000068070000}"/>
    <cellStyle name="Blue bold 3 2 4" xfId="1920" xr:uid="{00000000-0005-0000-0000-000069070000}"/>
    <cellStyle name="Blue bold 3 3" xfId="1921" xr:uid="{00000000-0005-0000-0000-00006A070000}"/>
    <cellStyle name="Blue bold 3 3 2" xfId="1922" xr:uid="{00000000-0005-0000-0000-00006B070000}"/>
    <cellStyle name="Blue bold 3 4" xfId="1923" xr:uid="{00000000-0005-0000-0000-00006C070000}"/>
    <cellStyle name="Blue bold 3 4 2" xfId="1924" xr:uid="{00000000-0005-0000-0000-00006D070000}"/>
    <cellStyle name="Blue bold 3 5" xfId="1925" xr:uid="{00000000-0005-0000-0000-00006E070000}"/>
    <cellStyle name="Blue bold 3 5 2" xfId="1926" xr:uid="{00000000-0005-0000-0000-00006F070000}"/>
    <cellStyle name="Blue bold 3 6" xfId="1927" xr:uid="{00000000-0005-0000-0000-000070070000}"/>
    <cellStyle name="Blue bold 3 6 2" xfId="1928" xr:uid="{00000000-0005-0000-0000-000071070000}"/>
    <cellStyle name="Blue bold 3 7" xfId="1929" xr:uid="{00000000-0005-0000-0000-000072070000}"/>
    <cellStyle name="Blue bold 3 7 2" xfId="1930" xr:uid="{00000000-0005-0000-0000-000073070000}"/>
    <cellStyle name="Blue bold 4" xfId="1931" xr:uid="{00000000-0005-0000-0000-000074070000}"/>
    <cellStyle name="Blue bold 4 2" xfId="1932" xr:uid="{00000000-0005-0000-0000-000075070000}"/>
    <cellStyle name="Blue bold 4 2 2" xfId="1933" xr:uid="{00000000-0005-0000-0000-000076070000}"/>
    <cellStyle name="Blue bold 4 3" xfId="1934" xr:uid="{00000000-0005-0000-0000-000077070000}"/>
    <cellStyle name="Blue bold 4 3 2" xfId="1935" xr:uid="{00000000-0005-0000-0000-000078070000}"/>
    <cellStyle name="Blue bold 4 4" xfId="1936" xr:uid="{00000000-0005-0000-0000-000079070000}"/>
    <cellStyle name="Blue bold 5" xfId="1937" xr:uid="{00000000-0005-0000-0000-00007A070000}"/>
    <cellStyle name="Blue bold 5 2" xfId="1938" xr:uid="{00000000-0005-0000-0000-00007B070000}"/>
    <cellStyle name="Blue bold 6" xfId="1939" xr:uid="{00000000-0005-0000-0000-00007C070000}"/>
    <cellStyle name="Blue bold 6 2" xfId="1940" xr:uid="{00000000-0005-0000-0000-00007D070000}"/>
    <cellStyle name="Blue bold 7" xfId="1941" xr:uid="{00000000-0005-0000-0000-00007E070000}"/>
    <cellStyle name="Blue bold 7 2" xfId="1942" xr:uid="{00000000-0005-0000-0000-00007F070000}"/>
    <cellStyle name="Blue bold 8" xfId="1943" xr:uid="{00000000-0005-0000-0000-000080070000}"/>
    <cellStyle name="Blue bold 8 2" xfId="1944" xr:uid="{00000000-0005-0000-0000-000081070000}"/>
    <cellStyle name="Blue bold 9" xfId="1945" xr:uid="{00000000-0005-0000-0000-000082070000}"/>
    <cellStyle name="Blue bold 9 2" xfId="1946" xr:uid="{00000000-0005-0000-0000-000083070000}"/>
    <cellStyle name="Blue_1Q10 ERF Supplement 3-15-10 Check" xfId="1947" xr:uid="{00000000-0005-0000-0000-000084070000}"/>
    <cellStyle name="Body" xfId="1948" xr:uid="{00000000-0005-0000-0000-000085070000}"/>
    <cellStyle name="BOLD - Style1" xfId="1949" xr:uid="{00000000-0005-0000-0000-000086070000}"/>
    <cellStyle name="Bold/Border" xfId="1950" xr:uid="{00000000-0005-0000-0000-000087070000}"/>
    <cellStyle name="Bold/Border 2" xfId="1951" xr:uid="{00000000-0005-0000-0000-000088070000}"/>
    <cellStyle name="Bold/Border 2 2" xfId="1952" xr:uid="{00000000-0005-0000-0000-000089070000}"/>
    <cellStyle name="Bold/Border 2 2 2" xfId="1953" xr:uid="{00000000-0005-0000-0000-00008A070000}"/>
    <cellStyle name="Bold/Border 2 3" xfId="1954" xr:uid="{00000000-0005-0000-0000-00008B070000}"/>
    <cellStyle name="Bold/Border 2 3 2" xfId="1955" xr:uid="{00000000-0005-0000-0000-00008C070000}"/>
    <cellStyle name="Bold/Border 2 4" xfId="1956" xr:uid="{00000000-0005-0000-0000-00008D070000}"/>
    <cellStyle name="Bold/Border 3" xfId="1957" xr:uid="{00000000-0005-0000-0000-00008E070000}"/>
    <cellStyle name="Bold/Border 3 2" xfId="1958" xr:uid="{00000000-0005-0000-0000-00008F070000}"/>
    <cellStyle name="Bold/Border 3 2 2" xfId="1959" xr:uid="{00000000-0005-0000-0000-000090070000}"/>
    <cellStyle name="Bold/Border 3 3" xfId="1960" xr:uid="{00000000-0005-0000-0000-000091070000}"/>
    <cellStyle name="Bold/Border 3 3 2" xfId="1961" xr:uid="{00000000-0005-0000-0000-000092070000}"/>
    <cellStyle name="Bold/Border 3 4" xfId="1962" xr:uid="{00000000-0005-0000-0000-000093070000}"/>
    <cellStyle name="Bold/Border 4" xfId="1963" xr:uid="{00000000-0005-0000-0000-000094070000}"/>
    <cellStyle name="Bold/Border 4 2" xfId="1964" xr:uid="{00000000-0005-0000-0000-000095070000}"/>
    <cellStyle name="Bold/Border 5" xfId="1965" xr:uid="{00000000-0005-0000-0000-000096070000}"/>
    <cellStyle name="Bold/Border 5 2" xfId="1966" xr:uid="{00000000-0005-0000-0000-000097070000}"/>
    <cellStyle name="Bold/Border 6" xfId="1967" xr:uid="{00000000-0005-0000-0000-000098070000}"/>
    <cellStyle name="Bold/Border 6 2" xfId="1968" xr:uid="{00000000-0005-0000-0000-000099070000}"/>
    <cellStyle name="Bold/Border 7" xfId="1969" xr:uid="{00000000-0005-0000-0000-00009A070000}"/>
    <cellStyle name="Bold/Border 7 2" xfId="1970" xr:uid="{00000000-0005-0000-0000-00009B070000}"/>
    <cellStyle name="Bold/Border 8" xfId="1971" xr:uid="{00000000-0005-0000-0000-00009C070000}"/>
    <cellStyle name="Bold/Border 8 2" xfId="1972" xr:uid="{00000000-0005-0000-0000-00009D070000}"/>
    <cellStyle name="BoldLineDescription" xfId="1973" xr:uid="{00000000-0005-0000-0000-00009E070000}"/>
    <cellStyle name="BoldUnderline" xfId="1974" xr:uid="{00000000-0005-0000-0000-00009F070000}"/>
    <cellStyle name="bookman top border" xfId="1975" xr:uid="{00000000-0005-0000-0000-0000A0070000}"/>
    <cellStyle name="Border" xfId="1976" xr:uid="{00000000-0005-0000-0000-0000A1070000}"/>
    <cellStyle name="Border - Style1" xfId="1977" xr:uid="{00000000-0005-0000-0000-0000A2070000}"/>
    <cellStyle name="Border - Style1 2" xfId="1978" xr:uid="{00000000-0005-0000-0000-0000A3070000}"/>
    <cellStyle name="Border - Style1 2 2" xfId="1979" xr:uid="{00000000-0005-0000-0000-0000A4070000}"/>
    <cellStyle name="Border - Style1 3" xfId="1980" xr:uid="{00000000-0005-0000-0000-0000A5070000}"/>
    <cellStyle name="Border - Style1 3 2" xfId="1981" xr:uid="{00000000-0005-0000-0000-0000A6070000}"/>
    <cellStyle name="Border - Style1 4" xfId="1982" xr:uid="{00000000-0005-0000-0000-0000A7070000}"/>
    <cellStyle name="Border - Style1 5" xfId="1983" xr:uid="{00000000-0005-0000-0000-0000A8070000}"/>
    <cellStyle name="Border - Style1 6" xfId="1984" xr:uid="{00000000-0005-0000-0000-0000A9070000}"/>
    <cellStyle name="Border - Style2" xfId="1985" xr:uid="{00000000-0005-0000-0000-0000AA070000}"/>
    <cellStyle name="Border 10" xfId="1986" xr:uid="{00000000-0005-0000-0000-0000AB070000}"/>
    <cellStyle name="Border 10 2" xfId="1987" xr:uid="{00000000-0005-0000-0000-0000AC070000}"/>
    <cellStyle name="Border 11" xfId="1988" xr:uid="{00000000-0005-0000-0000-0000AD070000}"/>
    <cellStyle name="Border 11 2" xfId="1989" xr:uid="{00000000-0005-0000-0000-0000AE070000}"/>
    <cellStyle name="Border 12" xfId="1990" xr:uid="{00000000-0005-0000-0000-0000AF070000}"/>
    <cellStyle name="Border 12 2" xfId="1991" xr:uid="{00000000-0005-0000-0000-0000B0070000}"/>
    <cellStyle name="Border 13" xfId="1992" xr:uid="{00000000-0005-0000-0000-0000B1070000}"/>
    <cellStyle name="Border 13 2" xfId="1993" xr:uid="{00000000-0005-0000-0000-0000B2070000}"/>
    <cellStyle name="Border 14" xfId="1994" xr:uid="{00000000-0005-0000-0000-0000B3070000}"/>
    <cellStyle name="Border 14 2" xfId="1995" xr:uid="{00000000-0005-0000-0000-0000B4070000}"/>
    <cellStyle name="Border 15" xfId="1996" xr:uid="{00000000-0005-0000-0000-0000B5070000}"/>
    <cellStyle name="Border 15 2" xfId="1997" xr:uid="{00000000-0005-0000-0000-0000B6070000}"/>
    <cellStyle name="Border 16" xfId="1998" xr:uid="{00000000-0005-0000-0000-0000B7070000}"/>
    <cellStyle name="Border 16 2" xfId="1999" xr:uid="{00000000-0005-0000-0000-0000B8070000}"/>
    <cellStyle name="Border 17" xfId="2000" xr:uid="{00000000-0005-0000-0000-0000B9070000}"/>
    <cellStyle name="Border 17 2" xfId="2001" xr:uid="{00000000-0005-0000-0000-0000BA070000}"/>
    <cellStyle name="Border 18" xfId="2002" xr:uid="{00000000-0005-0000-0000-0000BB070000}"/>
    <cellStyle name="Border 18 2" xfId="2003" xr:uid="{00000000-0005-0000-0000-0000BC070000}"/>
    <cellStyle name="Border 19" xfId="2004" xr:uid="{00000000-0005-0000-0000-0000BD070000}"/>
    <cellStyle name="Border 19 2" xfId="2005" xr:uid="{00000000-0005-0000-0000-0000BE070000}"/>
    <cellStyle name="Border 2" xfId="2006" xr:uid="{00000000-0005-0000-0000-0000BF070000}"/>
    <cellStyle name="Border 2 2" xfId="2007" xr:uid="{00000000-0005-0000-0000-0000C0070000}"/>
    <cellStyle name="Border 2 2 2" xfId="2008" xr:uid="{00000000-0005-0000-0000-0000C1070000}"/>
    <cellStyle name="Border 2 2 2 2" xfId="2009" xr:uid="{00000000-0005-0000-0000-0000C2070000}"/>
    <cellStyle name="Border 2 2 3" xfId="2010" xr:uid="{00000000-0005-0000-0000-0000C3070000}"/>
    <cellStyle name="Border 2 2 3 2" xfId="2011" xr:uid="{00000000-0005-0000-0000-0000C4070000}"/>
    <cellStyle name="Border 2 2 4" xfId="2012" xr:uid="{00000000-0005-0000-0000-0000C5070000}"/>
    <cellStyle name="Border 2 3" xfId="2013" xr:uid="{00000000-0005-0000-0000-0000C6070000}"/>
    <cellStyle name="Border 2 3 2" xfId="2014" xr:uid="{00000000-0005-0000-0000-0000C7070000}"/>
    <cellStyle name="Border 2 4" xfId="2015" xr:uid="{00000000-0005-0000-0000-0000C8070000}"/>
    <cellStyle name="Border 2 4 2" xfId="2016" xr:uid="{00000000-0005-0000-0000-0000C9070000}"/>
    <cellStyle name="Border 2 5" xfId="2017" xr:uid="{00000000-0005-0000-0000-0000CA070000}"/>
    <cellStyle name="Border 2 5 2" xfId="2018" xr:uid="{00000000-0005-0000-0000-0000CB070000}"/>
    <cellStyle name="Border 2 6" xfId="2019" xr:uid="{00000000-0005-0000-0000-0000CC070000}"/>
    <cellStyle name="Border 2 6 2" xfId="2020" xr:uid="{00000000-0005-0000-0000-0000CD070000}"/>
    <cellStyle name="Border 2 7" xfId="2021" xr:uid="{00000000-0005-0000-0000-0000CE070000}"/>
    <cellStyle name="Border 2 7 2" xfId="2022" xr:uid="{00000000-0005-0000-0000-0000CF070000}"/>
    <cellStyle name="Border 20" xfId="2023" xr:uid="{00000000-0005-0000-0000-0000D0070000}"/>
    <cellStyle name="Border 20 2" xfId="2024" xr:uid="{00000000-0005-0000-0000-0000D1070000}"/>
    <cellStyle name="Border 21" xfId="2025" xr:uid="{00000000-0005-0000-0000-0000D2070000}"/>
    <cellStyle name="Border 3" xfId="2026" xr:uid="{00000000-0005-0000-0000-0000D3070000}"/>
    <cellStyle name="Border 3 2" xfId="2027" xr:uid="{00000000-0005-0000-0000-0000D4070000}"/>
    <cellStyle name="Border 3 2 2" xfId="2028" xr:uid="{00000000-0005-0000-0000-0000D5070000}"/>
    <cellStyle name="Border 3 2 2 2" xfId="2029" xr:uid="{00000000-0005-0000-0000-0000D6070000}"/>
    <cellStyle name="Border 3 2 3" xfId="2030" xr:uid="{00000000-0005-0000-0000-0000D7070000}"/>
    <cellStyle name="Border 3 2 3 2" xfId="2031" xr:uid="{00000000-0005-0000-0000-0000D8070000}"/>
    <cellStyle name="Border 3 2 4" xfId="2032" xr:uid="{00000000-0005-0000-0000-0000D9070000}"/>
    <cellStyle name="Border 3 3" xfId="2033" xr:uid="{00000000-0005-0000-0000-0000DA070000}"/>
    <cellStyle name="Border 3 3 2" xfId="2034" xr:uid="{00000000-0005-0000-0000-0000DB070000}"/>
    <cellStyle name="Border 3 4" xfId="2035" xr:uid="{00000000-0005-0000-0000-0000DC070000}"/>
    <cellStyle name="Border 3 4 2" xfId="2036" xr:uid="{00000000-0005-0000-0000-0000DD070000}"/>
    <cellStyle name="Border 3 5" xfId="2037" xr:uid="{00000000-0005-0000-0000-0000DE070000}"/>
    <cellStyle name="Border 3 5 2" xfId="2038" xr:uid="{00000000-0005-0000-0000-0000DF070000}"/>
    <cellStyle name="Border 3 6" xfId="2039" xr:uid="{00000000-0005-0000-0000-0000E0070000}"/>
    <cellStyle name="Border 3 6 2" xfId="2040" xr:uid="{00000000-0005-0000-0000-0000E1070000}"/>
    <cellStyle name="Border 3 7" xfId="2041" xr:uid="{00000000-0005-0000-0000-0000E2070000}"/>
    <cellStyle name="Border 3 7 2" xfId="2042" xr:uid="{00000000-0005-0000-0000-0000E3070000}"/>
    <cellStyle name="Border 4" xfId="2043" xr:uid="{00000000-0005-0000-0000-0000E4070000}"/>
    <cellStyle name="Border 4 2" xfId="2044" xr:uid="{00000000-0005-0000-0000-0000E5070000}"/>
    <cellStyle name="Border 4 2 2" xfId="2045" xr:uid="{00000000-0005-0000-0000-0000E6070000}"/>
    <cellStyle name="Border 4 2 2 2" xfId="2046" xr:uid="{00000000-0005-0000-0000-0000E7070000}"/>
    <cellStyle name="Border 4 2 3" xfId="2047" xr:uid="{00000000-0005-0000-0000-0000E8070000}"/>
    <cellStyle name="Border 4 2 3 2" xfId="2048" xr:uid="{00000000-0005-0000-0000-0000E9070000}"/>
    <cellStyle name="Border 4 2 4" xfId="2049" xr:uid="{00000000-0005-0000-0000-0000EA070000}"/>
    <cellStyle name="Border 4 3" xfId="2050" xr:uid="{00000000-0005-0000-0000-0000EB070000}"/>
    <cellStyle name="Border 4 3 2" xfId="2051" xr:uid="{00000000-0005-0000-0000-0000EC070000}"/>
    <cellStyle name="Border 4 4" xfId="2052" xr:uid="{00000000-0005-0000-0000-0000ED070000}"/>
    <cellStyle name="Border 4 4 2" xfId="2053" xr:uid="{00000000-0005-0000-0000-0000EE070000}"/>
    <cellStyle name="Border 4 5" xfId="2054" xr:uid="{00000000-0005-0000-0000-0000EF070000}"/>
    <cellStyle name="Border 4 5 2" xfId="2055" xr:uid="{00000000-0005-0000-0000-0000F0070000}"/>
    <cellStyle name="Border 4 6" xfId="2056" xr:uid="{00000000-0005-0000-0000-0000F1070000}"/>
    <cellStyle name="Border 4 6 2" xfId="2057" xr:uid="{00000000-0005-0000-0000-0000F2070000}"/>
    <cellStyle name="Border 4 7" xfId="2058" xr:uid="{00000000-0005-0000-0000-0000F3070000}"/>
    <cellStyle name="Border 4 7 2" xfId="2059" xr:uid="{00000000-0005-0000-0000-0000F4070000}"/>
    <cellStyle name="Border 5" xfId="2060" xr:uid="{00000000-0005-0000-0000-0000F5070000}"/>
    <cellStyle name="Border 5 2" xfId="2061" xr:uid="{00000000-0005-0000-0000-0000F6070000}"/>
    <cellStyle name="Border 5 2 2" xfId="2062" xr:uid="{00000000-0005-0000-0000-0000F7070000}"/>
    <cellStyle name="Border 5 3" xfId="2063" xr:uid="{00000000-0005-0000-0000-0000F8070000}"/>
    <cellStyle name="Border 5 3 2" xfId="2064" xr:uid="{00000000-0005-0000-0000-0000F9070000}"/>
    <cellStyle name="Border 5 4" xfId="2065" xr:uid="{00000000-0005-0000-0000-0000FA070000}"/>
    <cellStyle name="Border 6" xfId="2066" xr:uid="{00000000-0005-0000-0000-0000FB070000}"/>
    <cellStyle name="Border 6 2" xfId="2067" xr:uid="{00000000-0005-0000-0000-0000FC070000}"/>
    <cellStyle name="Border 7" xfId="2068" xr:uid="{00000000-0005-0000-0000-0000FD070000}"/>
    <cellStyle name="Border 7 2" xfId="2069" xr:uid="{00000000-0005-0000-0000-0000FE070000}"/>
    <cellStyle name="Border 8" xfId="2070" xr:uid="{00000000-0005-0000-0000-0000FF070000}"/>
    <cellStyle name="Border 8 2" xfId="2071" xr:uid="{00000000-0005-0000-0000-000000080000}"/>
    <cellStyle name="Border 9" xfId="2072" xr:uid="{00000000-0005-0000-0000-000001080000}"/>
    <cellStyle name="Border 9 2" xfId="2073" xr:uid="{00000000-0005-0000-0000-000002080000}"/>
    <cellStyle name="Border Heavy" xfId="2074" xr:uid="{00000000-0005-0000-0000-000003080000}"/>
    <cellStyle name="Border Thin" xfId="2075" xr:uid="{00000000-0005-0000-0000-000004080000}"/>
    <cellStyle name="Border Thin 2" xfId="2076" xr:uid="{00000000-0005-0000-0000-000005080000}"/>
    <cellStyle name="Border Thin 2 2" xfId="2077" xr:uid="{00000000-0005-0000-0000-000006080000}"/>
    <cellStyle name="Border Thin 2 2 2" xfId="2078" xr:uid="{00000000-0005-0000-0000-000007080000}"/>
    <cellStyle name="Border Thin 2 3" xfId="2079" xr:uid="{00000000-0005-0000-0000-000008080000}"/>
    <cellStyle name="Border Thin 2 3 2" xfId="2080" xr:uid="{00000000-0005-0000-0000-000009080000}"/>
    <cellStyle name="Border Thin 2 4" xfId="2081" xr:uid="{00000000-0005-0000-0000-00000A080000}"/>
    <cellStyle name="Border Thin 3" xfId="2082" xr:uid="{00000000-0005-0000-0000-00000B080000}"/>
    <cellStyle name="Border Thin 3 2" xfId="2083" xr:uid="{00000000-0005-0000-0000-00000C080000}"/>
    <cellStyle name="Border Thin 3 2 2" xfId="2084" xr:uid="{00000000-0005-0000-0000-00000D080000}"/>
    <cellStyle name="Border Thin 3 3" xfId="2085" xr:uid="{00000000-0005-0000-0000-00000E080000}"/>
    <cellStyle name="Border Thin 3 3 2" xfId="2086" xr:uid="{00000000-0005-0000-0000-00000F080000}"/>
    <cellStyle name="Border Thin 3 4" xfId="2087" xr:uid="{00000000-0005-0000-0000-000010080000}"/>
    <cellStyle name="Border Thin 4" xfId="2088" xr:uid="{00000000-0005-0000-0000-000011080000}"/>
    <cellStyle name="Border Thin 4 2" xfId="2089" xr:uid="{00000000-0005-0000-0000-000012080000}"/>
    <cellStyle name="Border Thin 4 2 2" xfId="2090" xr:uid="{00000000-0005-0000-0000-000013080000}"/>
    <cellStyle name="Border Thin 4 3" xfId="2091" xr:uid="{00000000-0005-0000-0000-000014080000}"/>
    <cellStyle name="Border Thin 4 3 2" xfId="2092" xr:uid="{00000000-0005-0000-0000-000015080000}"/>
    <cellStyle name="Border Thin 4 4" xfId="2093" xr:uid="{00000000-0005-0000-0000-000016080000}"/>
    <cellStyle name="Border Thin 5" xfId="2094" xr:uid="{00000000-0005-0000-0000-000017080000}"/>
    <cellStyle name="Border Thin 5 2" xfId="2095" xr:uid="{00000000-0005-0000-0000-000018080000}"/>
    <cellStyle name="Border Thin 6" xfId="2096" xr:uid="{00000000-0005-0000-0000-000019080000}"/>
    <cellStyle name="Border Thin 6 2" xfId="2097" xr:uid="{00000000-0005-0000-0000-00001A080000}"/>
    <cellStyle name="Border Thin 7" xfId="2098" xr:uid="{00000000-0005-0000-0000-00001B080000}"/>
    <cellStyle name="Border Thin 8" xfId="2099" xr:uid="{00000000-0005-0000-0000-00001C080000}"/>
    <cellStyle name="Border_1Q10 ERF Supplement 3-15-10 Check" xfId="2100" xr:uid="{00000000-0005-0000-0000-00001D080000}"/>
    <cellStyle name="BorderAreas" xfId="2101" xr:uid="{00000000-0005-0000-0000-00001E080000}"/>
    <cellStyle name="BorderBoth" xfId="2102" xr:uid="{00000000-0005-0000-0000-00001F080000}"/>
    <cellStyle name="BorderBoth 2" xfId="2103" xr:uid="{00000000-0005-0000-0000-000020080000}"/>
    <cellStyle name="BorderBoth 3" xfId="2104" xr:uid="{00000000-0005-0000-0000-000021080000}"/>
    <cellStyle name="BorderBottom" xfId="2105" xr:uid="{00000000-0005-0000-0000-000022080000}"/>
    <cellStyle name="BorderBottom 2" xfId="2106" xr:uid="{00000000-0005-0000-0000-000023080000}"/>
    <cellStyle name="BorderBottom 2 2" xfId="2107" xr:uid="{00000000-0005-0000-0000-000024080000}"/>
    <cellStyle name="BorderBottom 2 2 2" xfId="2108" xr:uid="{00000000-0005-0000-0000-000025080000}"/>
    <cellStyle name="BorderBottom 2 3" xfId="2109" xr:uid="{00000000-0005-0000-0000-000026080000}"/>
    <cellStyle name="BorderBottom 2 3 2" xfId="2110" xr:uid="{00000000-0005-0000-0000-000027080000}"/>
    <cellStyle name="BorderBottom 2 4" xfId="2111" xr:uid="{00000000-0005-0000-0000-000028080000}"/>
    <cellStyle name="BorderBottom 3" xfId="2112" xr:uid="{00000000-0005-0000-0000-000029080000}"/>
    <cellStyle name="BorderBottom 3 2" xfId="2113" xr:uid="{00000000-0005-0000-0000-00002A080000}"/>
    <cellStyle name="BorderBottom 3 2 2" xfId="2114" xr:uid="{00000000-0005-0000-0000-00002B080000}"/>
    <cellStyle name="BorderBottom 3 3" xfId="2115" xr:uid="{00000000-0005-0000-0000-00002C080000}"/>
    <cellStyle name="BorderBottom 3 3 2" xfId="2116" xr:uid="{00000000-0005-0000-0000-00002D080000}"/>
    <cellStyle name="BorderBottom 3 4" xfId="2117" xr:uid="{00000000-0005-0000-0000-00002E080000}"/>
    <cellStyle name="BorderBottom 4" xfId="2118" xr:uid="{00000000-0005-0000-0000-00002F080000}"/>
    <cellStyle name="BorderBottom 4 2" xfId="2119" xr:uid="{00000000-0005-0000-0000-000030080000}"/>
    <cellStyle name="BorderBottom 4 2 2" xfId="2120" xr:uid="{00000000-0005-0000-0000-000031080000}"/>
    <cellStyle name="BorderBottom 4 3" xfId="2121" xr:uid="{00000000-0005-0000-0000-000032080000}"/>
    <cellStyle name="BorderBottom 4 3 2" xfId="2122" xr:uid="{00000000-0005-0000-0000-000033080000}"/>
    <cellStyle name="BorderBottom 4 4" xfId="2123" xr:uid="{00000000-0005-0000-0000-000034080000}"/>
    <cellStyle name="BorderBottom 5" xfId="2124" xr:uid="{00000000-0005-0000-0000-000035080000}"/>
    <cellStyle name="BorderBottom 5 2" xfId="2125" xr:uid="{00000000-0005-0000-0000-000036080000}"/>
    <cellStyle name="BorderBottom 6" xfId="2126" xr:uid="{00000000-0005-0000-0000-000037080000}"/>
    <cellStyle name="BorderBottom 6 2" xfId="2127" xr:uid="{00000000-0005-0000-0000-000038080000}"/>
    <cellStyle name="BorderBottom 7" xfId="2128" xr:uid="{00000000-0005-0000-0000-000039080000}"/>
    <cellStyle name="BorderBottom 8" xfId="2129" xr:uid="{00000000-0005-0000-0000-00003A080000}"/>
    <cellStyle name="BorderTop" xfId="2130" xr:uid="{00000000-0005-0000-0000-00003B080000}"/>
    <cellStyle name="BorderTop 2" xfId="2131" xr:uid="{00000000-0005-0000-0000-00003C080000}"/>
    <cellStyle name="BorderTop 3" xfId="2132" xr:uid="{00000000-0005-0000-0000-00003D080000}"/>
    <cellStyle name="Bot2" xfId="2133" xr:uid="{00000000-0005-0000-0000-00003E080000}"/>
    <cellStyle name="Bot2 2" xfId="2134" xr:uid="{00000000-0005-0000-0000-00003F080000}"/>
    <cellStyle name="Bot2 2 2" xfId="2135" xr:uid="{00000000-0005-0000-0000-000040080000}"/>
    <cellStyle name="Bot2 2 2 2" xfId="2136" xr:uid="{00000000-0005-0000-0000-000041080000}"/>
    <cellStyle name="Bot2 2 3" xfId="2137" xr:uid="{00000000-0005-0000-0000-000042080000}"/>
    <cellStyle name="Bot2 2 3 2" xfId="2138" xr:uid="{00000000-0005-0000-0000-000043080000}"/>
    <cellStyle name="Bot2 2 4" xfId="2139" xr:uid="{00000000-0005-0000-0000-000044080000}"/>
    <cellStyle name="Bot2 3" xfId="2140" xr:uid="{00000000-0005-0000-0000-000045080000}"/>
    <cellStyle name="Bot2 3 2" xfId="2141" xr:uid="{00000000-0005-0000-0000-000046080000}"/>
    <cellStyle name="Bot2 3 2 2" xfId="2142" xr:uid="{00000000-0005-0000-0000-000047080000}"/>
    <cellStyle name="Bot2 3 3" xfId="2143" xr:uid="{00000000-0005-0000-0000-000048080000}"/>
    <cellStyle name="Bot2 3 3 2" xfId="2144" xr:uid="{00000000-0005-0000-0000-000049080000}"/>
    <cellStyle name="Bot2 3 4" xfId="2145" xr:uid="{00000000-0005-0000-0000-00004A080000}"/>
    <cellStyle name="Bot2 4" xfId="2146" xr:uid="{00000000-0005-0000-0000-00004B080000}"/>
    <cellStyle name="Bot2 4 2" xfId="2147" xr:uid="{00000000-0005-0000-0000-00004C080000}"/>
    <cellStyle name="Bot2 4 2 2" xfId="2148" xr:uid="{00000000-0005-0000-0000-00004D080000}"/>
    <cellStyle name="Bot2 4 3" xfId="2149" xr:uid="{00000000-0005-0000-0000-00004E080000}"/>
    <cellStyle name="Bot2 4 3 2" xfId="2150" xr:uid="{00000000-0005-0000-0000-00004F080000}"/>
    <cellStyle name="Bot2 4 4" xfId="2151" xr:uid="{00000000-0005-0000-0000-000050080000}"/>
    <cellStyle name="Bot2 5" xfId="2152" xr:uid="{00000000-0005-0000-0000-000051080000}"/>
    <cellStyle name="Bot2 5 2" xfId="2153" xr:uid="{00000000-0005-0000-0000-000052080000}"/>
    <cellStyle name="Bot2 6" xfId="2154" xr:uid="{00000000-0005-0000-0000-000053080000}"/>
    <cellStyle name="Bot2 6 2" xfId="2155" xr:uid="{00000000-0005-0000-0000-000054080000}"/>
    <cellStyle name="Bot2 7" xfId="2156" xr:uid="{00000000-0005-0000-0000-000055080000}"/>
    <cellStyle name="Bot2 8" xfId="2157" xr:uid="{00000000-0005-0000-0000-000056080000}"/>
    <cellStyle name="both - Style2" xfId="2158" xr:uid="{00000000-0005-0000-0000-000057080000}"/>
    <cellStyle name="both - Style2 2" xfId="2159" xr:uid="{00000000-0005-0000-0000-000058080000}"/>
    <cellStyle name="both - Style2 3" xfId="2160" xr:uid="{00000000-0005-0000-0000-000059080000}"/>
    <cellStyle name="Bottom Edge" xfId="2161" xr:uid="{00000000-0005-0000-0000-00005A080000}"/>
    <cellStyle name="Bottom Edge 2" xfId="2162" xr:uid="{00000000-0005-0000-0000-00005B080000}"/>
    <cellStyle name="Bottom Edge 3" xfId="2163" xr:uid="{00000000-0005-0000-0000-00005C080000}"/>
    <cellStyle name="bp--" xfId="2164" xr:uid="{00000000-0005-0000-0000-00005D080000}"/>
    <cellStyle name="Bullet" xfId="2165" xr:uid="{00000000-0005-0000-0000-00005E080000}"/>
    <cellStyle name="C_Blue - Style3" xfId="2166" xr:uid="{00000000-0005-0000-0000-00005F080000}"/>
    <cellStyle name="C_Brow - Style4" xfId="2167" xr:uid="{00000000-0005-0000-0000-000060080000}"/>
    <cellStyle name="c_HardInc " xfId="2168" xr:uid="{00000000-0005-0000-0000-000061080000}"/>
    <cellStyle name="c_HardInc _Sheet1" xfId="2169" xr:uid="{00000000-0005-0000-0000-000062080000}"/>
    <cellStyle name="c_HardInc _Stress" xfId="2170" xr:uid="{00000000-0005-0000-0000-000063080000}"/>
    <cellStyle name="C_Red - Style5" xfId="2171" xr:uid="{00000000-0005-0000-0000-000064080000}"/>
    <cellStyle name="C00A" xfId="2172" xr:uid="{00000000-0005-0000-0000-000065080000}"/>
    <cellStyle name="C00B" xfId="2173" xr:uid="{00000000-0005-0000-0000-000066080000}"/>
    <cellStyle name="C00L" xfId="2174" xr:uid="{00000000-0005-0000-0000-000067080000}"/>
    <cellStyle name="C01A" xfId="2175" xr:uid="{00000000-0005-0000-0000-000068080000}"/>
    <cellStyle name="C01B" xfId="2176" xr:uid="{00000000-0005-0000-0000-000069080000}"/>
    <cellStyle name="C01H" xfId="2177" xr:uid="{00000000-0005-0000-0000-00006A080000}"/>
    <cellStyle name="C01L" xfId="2178" xr:uid="{00000000-0005-0000-0000-00006B080000}"/>
    <cellStyle name="C02A" xfId="2179" xr:uid="{00000000-0005-0000-0000-00006C080000}"/>
    <cellStyle name="C02A 2" xfId="2180" xr:uid="{00000000-0005-0000-0000-00006D080000}"/>
    <cellStyle name="C02A 3" xfId="2181" xr:uid="{00000000-0005-0000-0000-00006E080000}"/>
    <cellStyle name="C02A 4" xfId="2182" xr:uid="{00000000-0005-0000-0000-00006F080000}"/>
    <cellStyle name="C02A 5" xfId="2183" xr:uid="{00000000-0005-0000-0000-000070080000}"/>
    <cellStyle name="C02A 6" xfId="2184" xr:uid="{00000000-0005-0000-0000-000071080000}"/>
    <cellStyle name="C02B" xfId="2185" xr:uid="{00000000-0005-0000-0000-000072080000}"/>
    <cellStyle name="C02H" xfId="2186" xr:uid="{00000000-0005-0000-0000-000073080000}"/>
    <cellStyle name="C02L" xfId="2187" xr:uid="{00000000-0005-0000-0000-000074080000}"/>
    <cellStyle name="C03A" xfId="2188" xr:uid="{00000000-0005-0000-0000-000075080000}"/>
    <cellStyle name="C03B" xfId="2189" xr:uid="{00000000-0005-0000-0000-000076080000}"/>
    <cellStyle name="C03H" xfId="2190" xr:uid="{00000000-0005-0000-0000-000077080000}"/>
    <cellStyle name="C03L" xfId="2191" xr:uid="{00000000-0005-0000-0000-000078080000}"/>
    <cellStyle name="C04A" xfId="2192" xr:uid="{00000000-0005-0000-0000-000079080000}"/>
    <cellStyle name="C04B" xfId="2193" xr:uid="{00000000-0005-0000-0000-00007A080000}"/>
    <cellStyle name="C04H" xfId="2194" xr:uid="{00000000-0005-0000-0000-00007B080000}"/>
    <cellStyle name="C04L" xfId="2195" xr:uid="{00000000-0005-0000-0000-00007C080000}"/>
    <cellStyle name="C05A" xfId="2196" xr:uid="{00000000-0005-0000-0000-00007D080000}"/>
    <cellStyle name="C05B" xfId="2197" xr:uid="{00000000-0005-0000-0000-00007E080000}"/>
    <cellStyle name="C05H" xfId="2198" xr:uid="{00000000-0005-0000-0000-00007F080000}"/>
    <cellStyle name="C05L" xfId="2199" xr:uid="{00000000-0005-0000-0000-000080080000}"/>
    <cellStyle name="C06A" xfId="2200" xr:uid="{00000000-0005-0000-0000-000081080000}"/>
    <cellStyle name="C06B" xfId="2201" xr:uid="{00000000-0005-0000-0000-000082080000}"/>
    <cellStyle name="C06H" xfId="2202" xr:uid="{00000000-0005-0000-0000-000083080000}"/>
    <cellStyle name="C06L" xfId="2203" xr:uid="{00000000-0005-0000-0000-000084080000}"/>
    <cellStyle name="C07A" xfId="2204" xr:uid="{00000000-0005-0000-0000-000085080000}"/>
    <cellStyle name="C07B" xfId="2205" xr:uid="{00000000-0005-0000-0000-000086080000}"/>
    <cellStyle name="C07H" xfId="2206" xr:uid="{00000000-0005-0000-0000-000087080000}"/>
    <cellStyle name="C07L" xfId="2207" xr:uid="{00000000-0005-0000-0000-000088080000}"/>
    <cellStyle name="CAD" xfId="2208" xr:uid="{00000000-0005-0000-0000-000089080000}"/>
    <cellStyle name="Calc Currency (0)" xfId="2209" xr:uid="{00000000-0005-0000-0000-00008A080000}"/>
    <cellStyle name="Calc Currency (2)" xfId="2210" xr:uid="{00000000-0005-0000-0000-00008B080000}"/>
    <cellStyle name="Calc Percent (0)" xfId="2211" xr:uid="{00000000-0005-0000-0000-00008C080000}"/>
    <cellStyle name="Calc Percent (1)" xfId="2212" xr:uid="{00000000-0005-0000-0000-00008D080000}"/>
    <cellStyle name="Calc Percent (2)" xfId="2213" xr:uid="{00000000-0005-0000-0000-00008E080000}"/>
    <cellStyle name="Calc Units (0)" xfId="2214" xr:uid="{00000000-0005-0000-0000-00008F080000}"/>
    <cellStyle name="Calc Units (1)" xfId="2215" xr:uid="{00000000-0005-0000-0000-000090080000}"/>
    <cellStyle name="Calc Units (2)" xfId="2216" xr:uid="{00000000-0005-0000-0000-000091080000}"/>
    <cellStyle name="CalcComma0" xfId="2217" xr:uid="{00000000-0005-0000-0000-000092080000}"/>
    <cellStyle name="CalcComma0 2" xfId="2218" xr:uid="{00000000-0005-0000-0000-000093080000}"/>
    <cellStyle name="CalcComma0 3" xfId="2219" xr:uid="{00000000-0005-0000-0000-000094080000}"/>
    <cellStyle name="CalcComma0 4" xfId="2220" xr:uid="{00000000-0005-0000-0000-000095080000}"/>
    <cellStyle name="CalcComma0 5" xfId="2221" xr:uid="{00000000-0005-0000-0000-000096080000}"/>
    <cellStyle name="CalcComma1" xfId="2222" xr:uid="{00000000-0005-0000-0000-000097080000}"/>
    <cellStyle name="CalcComma2" xfId="2223" xr:uid="{00000000-0005-0000-0000-000098080000}"/>
    <cellStyle name="CalcComma3" xfId="2224" xr:uid="{00000000-0005-0000-0000-000099080000}"/>
    <cellStyle name="CalcComma4" xfId="2225" xr:uid="{00000000-0005-0000-0000-00009A080000}"/>
    <cellStyle name="CalcCurr0" xfId="2226" xr:uid="{00000000-0005-0000-0000-00009B080000}"/>
    <cellStyle name="CalcCurr1" xfId="2227" xr:uid="{00000000-0005-0000-0000-00009C080000}"/>
    <cellStyle name="CalcCurr2" xfId="2228" xr:uid="{00000000-0005-0000-0000-00009D080000}"/>
    <cellStyle name="CalcCurr3" xfId="2229" xr:uid="{00000000-0005-0000-0000-00009E080000}"/>
    <cellStyle name="CalcCurr4" xfId="2230" xr:uid="{00000000-0005-0000-0000-00009F080000}"/>
    <cellStyle name="CalcPercent0" xfId="2231" xr:uid="{00000000-0005-0000-0000-0000A0080000}"/>
    <cellStyle name="CalcPercent1" xfId="2232" xr:uid="{00000000-0005-0000-0000-0000A1080000}"/>
    <cellStyle name="CalcPercent2" xfId="2233" xr:uid="{00000000-0005-0000-0000-0000A2080000}"/>
    <cellStyle name="Calculation" xfId="16" builtinId="22" customBuiltin="1"/>
    <cellStyle name="Calculations" xfId="2234" xr:uid="{00000000-0005-0000-0000-0000A4080000}"/>
    <cellStyle name="CashFlow" xfId="2235" xr:uid="{00000000-0005-0000-0000-0000A5080000}"/>
    <cellStyle name="CategoryBodyBorders" xfId="2236" xr:uid="{00000000-0005-0000-0000-0000A6080000}"/>
    <cellStyle name="CategoryBodyBorders 2" xfId="2237" xr:uid="{00000000-0005-0000-0000-0000A7080000}"/>
    <cellStyle name="CategoryBodyBorders 2 2" xfId="2238" xr:uid="{00000000-0005-0000-0000-0000A8080000}"/>
    <cellStyle name="CategoryBodyBorders 2 3" xfId="2239" xr:uid="{00000000-0005-0000-0000-0000A9080000}"/>
    <cellStyle name="CategoryBodyBorders 2 4" xfId="2240" xr:uid="{00000000-0005-0000-0000-0000AA080000}"/>
    <cellStyle name="CategoryBodyBorders 2 5" xfId="2241" xr:uid="{00000000-0005-0000-0000-0000AB080000}"/>
    <cellStyle name="CategoryBodyBorders 3" xfId="2242" xr:uid="{00000000-0005-0000-0000-0000AC080000}"/>
    <cellStyle name="CategoryBodyBorders 3 2" xfId="2243" xr:uid="{00000000-0005-0000-0000-0000AD080000}"/>
    <cellStyle name="CategoryBodyBorders 3 3" xfId="2244" xr:uid="{00000000-0005-0000-0000-0000AE080000}"/>
    <cellStyle name="CategoryBodyBorders 3 4" xfId="2245" xr:uid="{00000000-0005-0000-0000-0000AF080000}"/>
    <cellStyle name="CategoryBodyBorders 3 5" xfId="2246" xr:uid="{00000000-0005-0000-0000-0000B0080000}"/>
    <cellStyle name="CategoryBodyBorders 4" xfId="2247" xr:uid="{00000000-0005-0000-0000-0000B1080000}"/>
    <cellStyle name="CategoryBodyBorders 5" xfId="2248" xr:uid="{00000000-0005-0000-0000-0000B2080000}"/>
    <cellStyle name="CategoryBodyBorders 6" xfId="2249" xr:uid="{00000000-0005-0000-0000-0000B3080000}"/>
    <cellStyle name="CategoryBodyBorders 7" xfId="2250" xr:uid="{00000000-0005-0000-0000-0000B4080000}"/>
    <cellStyle name="CategoryBodyText" xfId="2251" xr:uid="{00000000-0005-0000-0000-0000B5080000}"/>
    <cellStyle name="CategoryBodyText 2" xfId="2252" xr:uid="{00000000-0005-0000-0000-0000B6080000}"/>
    <cellStyle name="CB Helv Cond Bld 16" xfId="2253" xr:uid="{00000000-0005-0000-0000-0000B7080000}"/>
    <cellStyle name="CB Helv Cond Bld 16 2" xfId="2254" xr:uid="{00000000-0005-0000-0000-0000B8080000}"/>
    <cellStyle name="CB Helv Cond Bld 16 3" xfId="2255" xr:uid="{00000000-0005-0000-0000-0000B9080000}"/>
    <cellStyle name="Center" xfId="2256" xr:uid="{00000000-0005-0000-0000-0000BA080000}"/>
    <cellStyle name="Center2" xfId="2257" xr:uid="{00000000-0005-0000-0000-0000BB080000}"/>
    <cellStyle name="Centered Heading" xfId="2258" xr:uid="{00000000-0005-0000-0000-0000BC080000}"/>
    <cellStyle name="Cents" xfId="2259" xr:uid="{00000000-0005-0000-0000-0000BD080000}"/>
    <cellStyle name="Cents (0.0)" xfId="2260" xr:uid="{00000000-0005-0000-0000-0000BE080000}"/>
    <cellStyle name="Cents_ETrade Model (Updated February 12, 2008) v.4" xfId="2261" xr:uid="{00000000-0005-0000-0000-0000BF080000}"/>
    <cellStyle name="Change" xfId="2262" xr:uid="{00000000-0005-0000-0000-0000C0080000}"/>
    <cellStyle name="Changeable" xfId="2263" xr:uid="{00000000-0005-0000-0000-0000C1080000}"/>
    <cellStyle name="Check Cell" xfId="18" builtinId="23" customBuiltin="1"/>
    <cellStyle name="CLear" xfId="2264" xr:uid="{00000000-0005-0000-0000-0000C3080000}"/>
    <cellStyle name="CLear 2" xfId="2265" xr:uid="{00000000-0005-0000-0000-0000C4080000}"/>
    <cellStyle name="CLear 3" xfId="2266" xr:uid="{00000000-0005-0000-0000-0000C5080000}"/>
    <cellStyle name="ClearInput" xfId="2267" xr:uid="{00000000-0005-0000-0000-0000C6080000}"/>
    <cellStyle name="ClearInput 2" xfId="2268" xr:uid="{00000000-0005-0000-0000-0000C7080000}"/>
    <cellStyle name="ClearInput 3" xfId="2269" xr:uid="{00000000-0005-0000-0000-0000C8080000}"/>
    <cellStyle name="ClearInput 4" xfId="2270" xr:uid="{00000000-0005-0000-0000-0000C9080000}"/>
    <cellStyle name="ClearInput 5" xfId="2271" xr:uid="{00000000-0005-0000-0000-0000CA080000}"/>
    <cellStyle name="Client" xfId="2272" xr:uid="{00000000-0005-0000-0000-0000CB080000}"/>
    <cellStyle name="Co. Names" xfId="2273" xr:uid="{00000000-0005-0000-0000-0000CC080000}"/>
    <cellStyle name="Co. Names - Bold" xfId="2274" xr:uid="{00000000-0005-0000-0000-0000CD080000}"/>
    <cellStyle name="Co. Names 10" xfId="2275" xr:uid="{00000000-0005-0000-0000-0000CE080000}"/>
    <cellStyle name="Co. Names 2" xfId="2276" xr:uid="{00000000-0005-0000-0000-0000CF080000}"/>
    <cellStyle name="Co. Names 3" xfId="2277" xr:uid="{00000000-0005-0000-0000-0000D0080000}"/>
    <cellStyle name="Co. Names 4" xfId="2278" xr:uid="{00000000-0005-0000-0000-0000D1080000}"/>
    <cellStyle name="Co. Names 5" xfId="2279" xr:uid="{00000000-0005-0000-0000-0000D2080000}"/>
    <cellStyle name="Co. Names 6" xfId="2280" xr:uid="{00000000-0005-0000-0000-0000D3080000}"/>
    <cellStyle name="Co. Names 7" xfId="2281" xr:uid="{00000000-0005-0000-0000-0000D4080000}"/>
    <cellStyle name="Co. Names 8" xfId="2282" xr:uid="{00000000-0005-0000-0000-0000D5080000}"/>
    <cellStyle name="Co. Names 9" xfId="2283" xr:uid="{00000000-0005-0000-0000-0000D6080000}"/>
    <cellStyle name="Co. Names_3Q09 ERF Supplement 9-17-09 revised 10022009" xfId="2284" xr:uid="{00000000-0005-0000-0000-0000D7080000}"/>
    <cellStyle name="COB" xfId="2285" xr:uid="{00000000-0005-0000-0000-0000D8080000}"/>
    <cellStyle name="Code" xfId="2286" xr:uid="{00000000-0005-0000-0000-0000D9080000}"/>
    <cellStyle name="Code Section" xfId="2287" xr:uid="{00000000-0005-0000-0000-0000DA080000}"/>
    <cellStyle name="COL HEADINGS" xfId="2288" xr:uid="{00000000-0005-0000-0000-0000DB080000}"/>
    <cellStyle name="COL HEADINGS 2" xfId="2289" xr:uid="{00000000-0005-0000-0000-0000DC080000}"/>
    <cellStyle name="COL HEADINGS 2 2" xfId="2290" xr:uid="{00000000-0005-0000-0000-0000DD080000}"/>
    <cellStyle name="COL HEADINGS 2 2 2" xfId="2291" xr:uid="{00000000-0005-0000-0000-0000DE080000}"/>
    <cellStyle name="COL HEADINGS 2 3" xfId="2292" xr:uid="{00000000-0005-0000-0000-0000DF080000}"/>
    <cellStyle name="COL HEADINGS 2 3 2" xfId="2293" xr:uid="{00000000-0005-0000-0000-0000E0080000}"/>
    <cellStyle name="COL HEADINGS 2 4" xfId="2294" xr:uid="{00000000-0005-0000-0000-0000E1080000}"/>
    <cellStyle name="COL HEADINGS 3" xfId="2295" xr:uid="{00000000-0005-0000-0000-0000E2080000}"/>
    <cellStyle name="COL HEADINGS 3 2" xfId="2296" xr:uid="{00000000-0005-0000-0000-0000E3080000}"/>
    <cellStyle name="COL HEADINGS 4" xfId="2297" xr:uid="{00000000-0005-0000-0000-0000E4080000}"/>
    <cellStyle name="COL HEADINGS 4 2" xfId="2298" xr:uid="{00000000-0005-0000-0000-0000E5080000}"/>
    <cellStyle name="COL HEADINGS 5" xfId="2299" xr:uid="{00000000-0005-0000-0000-0000E6080000}"/>
    <cellStyle name="COL HEADINGS 5 2" xfId="2300" xr:uid="{00000000-0005-0000-0000-0000E7080000}"/>
    <cellStyle name="COL HEADINGS 6" xfId="2301" xr:uid="{00000000-0005-0000-0000-0000E8080000}"/>
    <cellStyle name="COL HEADINGS 6 2" xfId="2302" xr:uid="{00000000-0005-0000-0000-0000E9080000}"/>
    <cellStyle name="COL HEADINGS 7" xfId="2303" xr:uid="{00000000-0005-0000-0000-0000EA080000}"/>
    <cellStyle name="COL HEADINGS 7 2" xfId="2304" xr:uid="{00000000-0005-0000-0000-0000EB080000}"/>
    <cellStyle name="col1" xfId="2305" xr:uid="{00000000-0005-0000-0000-0000EC080000}"/>
    <cellStyle name="col1 2" xfId="2306" xr:uid="{00000000-0005-0000-0000-0000ED080000}"/>
    <cellStyle name="col1 3" xfId="2307" xr:uid="{00000000-0005-0000-0000-0000EE080000}"/>
    <cellStyle name="col1 4" xfId="2308" xr:uid="{00000000-0005-0000-0000-0000EF080000}"/>
    <cellStyle name="col1 5" xfId="2309" xr:uid="{00000000-0005-0000-0000-0000F0080000}"/>
    <cellStyle name="ColBlue" xfId="2310" xr:uid="{00000000-0005-0000-0000-0000F1080000}"/>
    <cellStyle name="ColGreen" xfId="2311" xr:uid="{00000000-0005-0000-0000-0000F2080000}"/>
    <cellStyle name="ColHead" xfId="2312" xr:uid="{00000000-0005-0000-0000-0000F3080000}"/>
    <cellStyle name="ColHeading" xfId="2313" xr:uid="{00000000-0005-0000-0000-0000F4080000}"/>
    <cellStyle name="ColRed" xfId="2314" xr:uid="{00000000-0005-0000-0000-0000F5080000}"/>
    <cellStyle name="Column Headers" xfId="2315" xr:uid="{00000000-0005-0000-0000-0000F6080000}"/>
    <cellStyle name="ColumnHdrs" xfId="2316" xr:uid="{00000000-0005-0000-0000-0000F7080000}"/>
    <cellStyle name="ColumnHdrs 2" xfId="2317" xr:uid="{00000000-0005-0000-0000-0000F8080000}"/>
    <cellStyle name="ColumnHdrs 3" xfId="2318" xr:uid="{00000000-0005-0000-0000-0000F9080000}"/>
    <cellStyle name="Com¶" xfId="2319" xr:uid="{00000000-0005-0000-0000-0000FA080000}"/>
    <cellStyle name="Comma  - Style1" xfId="2320" xr:uid="{00000000-0005-0000-0000-0000FB080000}"/>
    <cellStyle name="Comma  - Style2" xfId="2321" xr:uid="{00000000-0005-0000-0000-0000FC080000}"/>
    <cellStyle name="Comma  - Style3" xfId="2322" xr:uid="{00000000-0005-0000-0000-0000FD080000}"/>
    <cellStyle name="Comma  - Style4" xfId="2323" xr:uid="{00000000-0005-0000-0000-0000FE080000}"/>
    <cellStyle name="Comma  - Style5" xfId="2324" xr:uid="{00000000-0005-0000-0000-0000FF080000}"/>
    <cellStyle name="Comma  - Style6" xfId="2325" xr:uid="{00000000-0005-0000-0000-000000090000}"/>
    <cellStyle name="Comma  - Style7" xfId="2326" xr:uid="{00000000-0005-0000-0000-000001090000}"/>
    <cellStyle name="Comma  - Style8" xfId="2327" xr:uid="{00000000-0005-0000-0000-000002090000}"/>
    <cellStyle name="Comma (1)" xfId="2328" xr:uid="{00000000-0005-0000-0000-000003090000}"/>
    <cellStyle name="Comma (2)" xfId="2329" xr:uid="{00000000-0005-0000-0000-000004090000}"/>
    <cellStyle name="Comma [0] - Credits" xfId="2330" xr:uid="{00000000-0005-0000-0000-000005090000}"/>
    <cellStyle name="Comma [0] - Debits" xfId="2331" xr:uid="{00000000-0005-0000-0000-000006090000}"/>
    <cellStyle name="Comma [0] 2" xfId="2332" xr:uid="{00000000-0005-0000-0000-000007090000}"/>
    <cellStyle name="Comma [00]" xfId="2333" xr:uid="{00000000-0005-0000-0000-000008090000}"/>
    <cellStyle name="Comma [1]" xfId="2334" xr:uid="{00000000-0005-0000-0000-000009090000}"/>
    <cellStyle name="Comma [2]" xfId="2335" xr:uid="{00000000-0005-0000-0000-00000A090000}"/>
    <cellStyle name="Comma 0" xfId="2336" xr:uid="{00000000-0005-0000-0000-00000B090000}"/>
    <cellStyle name="Comma 0.0" xfId="2337" xr:uid="{00000000-0005-0000-0000-00000C090000}"/>
    <cellStyle name="Comma 0.00" xfId="2338" xr:uid="{00000000-0005-0000-0000-00000D090000}"/>
    <cellStyle name="Comma 0.000" xfId="2339" xr:uid="{00000000-0005-0000-0000-00000E090000}"/>
    <cellStyle name="Comma 0.0000" xfId="2340" xr:uid="{00000000-0005-0000-0000-00000F090000}"/>
    <cellStyle name="Comma 10" xfId="2341" xr:uid="{00000000-0005-0000-0000-000010090000}"/>
    <cellStyle name="Comma 11" xfId="2342" xr:uid="{00000000-0005-0000-0000-000011090000}"/>
    <cellStyle name="Comma 12" xfId="2343" xr:uid="{00000000-0005-0000-0000-000012090000}"/>
    <cellStyle name="Comma 13" xfId="2344" xr:uid="{00000000-0005-0000-0000-000013090000}"/>
    <cellStyle name="Comma 14" xfId="2345" xr:uid="{00000000-0005-0000-0000-000014090000}"/>
    <cellStyle name="Comma 15" xfId="2346" xr:uid="{00000000-0005-0000-0000-000015090000}"/>
    <cellStyle name="Comma 16" xfId="2347" xr:uid="{00000000-0005-0000-0000-000016090000}"/>
    <cellStyle name="Comma 17" xfId="2348" xr:uid="{00000000-0005-0000-0000-000017090000}"/>
    <cellStyle name="Comma 18" xfId="2349" xr:uid="{00000000-0005-0000-0000-000018090000}"/>
    <cellStyle name="Comma 19" xfId="2350" xr:uid="{00000000-0005-0000-0000-000019090000}"/>
    <cellStyle name="Comma 19 2" xfId="2351" xr:uid="{00000000-0005-0000-0000-00001A090000}"/>
    <cellStyle name="Comma 2" xfId="2352" xr:uid="{00000000-0005-0000-0000-00001B090000}"/>
    <cellStyle name="Comma 2 2" xfId="2353" xr:uid="{00000000-0005-0000-0000-00001C090000}"/>
    <cellStyle name="Comma 2_Data" xfId="2354" xr:uid="{00000000-0005-0000-0000-00001D090000}"/>
    <cellStyle name="Comma 20" xfId="2355" xr:uid="{00000000-0005-0000-0000-00001E090000}"/>
    <cellStyle name="Comma 21" xfId="2356" xr:uid="{00000000-0005-0000-0000-00001F090000}"/>
    <cellStyle name="Comma 22" xfId="2357" xr:uid="{00000000-0005-0000-0000-000020090000}"/>
    <cellStyle name="Comma 23" xfId="2358" xr:uid="{00000000-0005-0000-0000-000021090000}"/>
    <cellStyle name="Comma 24" xfId="2359" xr:uid="{00000000-0005-0000-0000-000022090000}"/>
    <cellStyle name="Comma 25" xfId="2360" xr:uid="{00000000-0005-0000-0000-000023090000}"/>
    <cellStyle name="Comma 26" xfId="2361" xr:uid="{00000000-0005-0000-0000-000024090000}"/>
    <cellStyle name="Comma 27" xfId="2362" xr:uid="{00000000-0005-0000-0000-000025090000}"/>
    <cellStyle name="Comma 28" xfId="2363" xr:uid="{00000000-0005-0000-0000-000026090000}"/>
    <cellStyle name="Comma 29" xfId="2364" xr:uid="{00000000-0005-0000-0000-000027090000}"/>
    <cellStyle name="Comma 3" xfId="2365" xr:uid="{00000000-0005-0000-0000-000028090000}"/>
    <cellStyle name="Comma 3 2" xfId="2366" xr:uid="{00000000-0005-0000-0000-000029090000}"/>
    <cellStyle name="Comma 3 2 2" xfId="2367" xr:uid="{00000000-0005-0000-0000-00002A090000}"/>
    <cellStyle name="Comma 3 2 2 2" xfId="2368" xr:uid="{00000000-0005-0000-0000-00002B090000}"/>
    <cellStyle name="Comma 3 2 3" xfId="2369" xr:uid="{00000000-0005-0000-0000-00002C090000}"/>
    <cellStyle name="Comma 3 2 4" xfId="2370" xr:uid="{00000000-0005-0000-0000-00002D090000}"/>
    <cellStyle name="Comma 3 3" xfId="2371" xr:uid="{00000000-0005-0000-0000-00002E090000}"/>
    <cellStyle name="Comma 3 3 2" xfId="2372" xr:uid="{00000000-0005-0000-0000-00002F090000}"/>
    <cellStyle name="Comma 3 3 3" xfId="2373" xr:uid="{00000000-0005-0000-0000-000030090000}"/>
    <cellStyle name="Comma 3 3 4" xfId="2374" xr:uid="{00000000-0005-0000-0000-000031090000}"/>
    <cellStyle name="Comma 3 4" xfId="2375" xr:uid="{00000000-0005-0000-0000-000032090000}"/>
    <cellStyle name="Comma 3 5" xfId="2376" xr:uid="{00000000-0005-0000-0000-000033090000}"/>
    <cellStyle name="Comma 3 5 2" xfId="2377" xr:uid="{00000000-0005-0000-0000-000034090000}"/>
    <cellStyle name="Comma 3 6" xfId="2378" xr:uid="{00000000-0005-0000-0000-000035090000}"/>
    <cellStyle name="Comma 3 7" xfId="2379" xr:uid="{00000000-0005-0000-0000-000036090000}"/>
    <cellStyle name="Comma 30" xfId="2380" xr:uid="{00000000-0005-0000-0000-000037090000}"/>
    <cellStyle name="Comma 31" xfId="2381" xr:uid="{00000000-0005-0000-0000-000038090000}"/>
    <cellStyle name="Comma 32" xfId="2382" xr:uid="{00000000-0005-0000-0000-000039090000}"/>
    <cellStyle name="Comma 33" xfId="2383" xr:uid="{00000000-0005-0000-0000-00003A090000}"/>
    <cellStyle name="Comma 34" xfId="2384" xr:uid="{00000000-0005-0000-0000-00003B090000}"/>
    <cellStyle name="Comma 35" xfId="2385" xr:uid="{00000000-0005-0000-0000-00003C090000}"/>
    <cellStyle name="Comma 36" xfId="2386" xr:uid="{00000000-0005-0000-0000-00003D090000}"/>
    <cellStyle name="Comma 37" xfId="2387" xr:uid="{00000000-0005-0000-0000-00003E090000}"/>
    <cellStyle name="Comma 38" xfId="2388" xr:uid="{00000000-0005-0000-0000-00003F090000}"/>
    <cellStyle name="Comma 39" xfId="2389" xr:uid="{00000000-0005-0000-0000-000040090000}"/>
    <cellStyle name="Comma 4" xfId="2390" xr:uid="{00000000-0005-0000-0000-000041090000}"/>
    <cellStyle name="Comma 4 2" xfId="2391" xr:uid="{00000000-0005-0000-0000-000042090000}"/>
    <cellStyle name="Comma 4 2 2" xfId="2392" xr:uid="{00000000-0005-0000-0000-000043090000}"/>
    <cellStyle name="Comma 4 2 2 2" xfId="2393" xr:uid="{00000000-0005-0000-0000-000044090000}"/>
    <cellStyle name="Comma 4 2 2 3" xfId="2394" xr:uid="{00000000-0005-0000-0000-000045090000}"/>
    <cellStyle name="Comma 4 2 2 4" xfId="2395" xr:uid="{00000000-0005-0000-0000-000046090000}"/>
    <cellStyle name="Comma 4 3" xfId="2396" xr:uid="{00000000-0005-0000-0000-000047090000}"/>
    <cellStyle name="Comma 4 4" xfId="2397" xr:uid="{00000000-0005-0000-0000-000048090000}"/>
    <cellStyle name="Comma 40" xfId="2398" xr:uid="{00000000-0005-0000-0000-000049090000}"/>
    <cellStyle name="Comma 41" xfId="2399" xr:uid="{00000000-0005-0000-0000-00004A090000}"/>
    <cellStyle name="Comma 42" xfId="2400" xr:uid="{00000000-0005-0000-0000-00004B090000}"/>
    <cellStyle name="Comma 43" xfId="2401" xr:uid="{00000000-0005-0000-0000-00004C090000}"/>
    <cellStyle name="Comma 43 2" xfId="2402" xr:uid="{00000000-0005-0000-0000-00004D090000}"/>
    <cellStyle name="Comma 43 3" xfId="2403" xr:uid="{00000000-0005-0000-0000-00004E090000}"/>
    <cellStyle name="Comma 43 3 2" xfId="2404" xr:uid="{00000000-0005-0000-0000-00004F090000}"/>
    <cellStyle name="Comma 44" xfId="2405" xr:uid="{00000000-0005-0000-0000-000050090000}"/>
    <cellStyle name="Comma 45" xfId="2406" xr:uid="{00000000-0005-0000-0000-000051090000}"/>
    <cellStyle name="Comma 46" xfId="2407" xr:uid="{00000000-0005-0000-0000-000052090000}"/>
    <cellStyle name="Comma 47" xfId="2408" xr:uid="{00000000-0005-0000-0000-000053090000}"/>
    <cellStyle name="Comma 48" xfId="2409" xr:uid="{00000000-0005-0000-0000-000054090000}"/>
    <cellStyle name="Comma 49" xfId="2410" xr:uid="{00000000-0005-0000-0000-000055090000}"/>
    <cellStyle name="Comma 5" xfId="2411" xr:uid="{00000000-0005-0000-0000-000056090000}"/>
    <cellStyle name="Comma 50" xfId="2412" xr:uid="{00000000-0005-0000-0000-000057090000}"/>
    <cellStyle name="Comma 51" xfId="2413" xr:uid="{00000000-0005-0000-0000-000058090000}"/>
    <cellStyle name="Comma 52" xfId="2414" xr:uid="{00000000-0005-0000-0000-000059090000}"/>
    <cellStyle name="Comma 53" xfId="2415" xr:uid="{00000000-0005-0000-0000-00005A090000}"/>
    <cellStyle name="Comma 54" xfId="2416" xr:uid="{00000000-0005-0000-0000-00005B090000}"/>
    <cellStyle name="Comma 55" xfId="2417" xr:uid="{00000000-0005-0000-0000-00005C090000}"/>
    <cellStyle name="Comma 56" xfId="2418" xr:uid="{00000000-0005-0000-0000-00005D090000}"/>
    <cellStyle name="Comma 57" xfId="2419" xr:uid="{00000000-0005-0000-0000-00005E090000}"/>
    <cellStyle name="Comma 58" xfId="2420" xr:uid="{00000000-0005-0000-0000-00005F090000}"/>
    <cellStyle name="Comma 59" xfId="2421" xr:uid="{00000000-0005-0000-0000-000060090000}"/>
    <cellStyle name="Comma 6" xfId="2422" xr:uid="{00000000-0005-0000-0000-000061090000}"/>
    <cellStyle name="Comma 6 2" xfId="2423" xr:uid="{00000000-0005-0000-0000-000062090000}"/>
    <cellStyle name="Comma 6 2 2" xfId="2424" xr:uid="{00000000-0005-0000-0000-000063090000}"/>
    <cellStyle name="Comma 6 3" xfId="2425" xr:uid="{00000000-0005-0000-0000-000064090000}"/>
    <cellStyle name="Comma 6 4" xfId="2426" xr:uid="{00000000-0005-0000-0000-000065090000}"/>
    <cellStyle name="Comma 6 5" xfId="2427" xr:uid="{00000000-0005-0000-0000-000066090000}"/>
    <cellStyle name="Comma 60" xfId="2428" xr:uid="{00000000-0005-0000-0000-000067090000}"/>
    <cellStyle name="Comma 61" xfId="2429" xr:uid="{00000000-0005-0000-0000-000068090000}"/>
    <cellStyle name="Comma 62" xfId="2430" xr:uid="{00000000-0005-0000-0000-000069090000}"/>
    <cellStyle name="Comma 63" xfId="2431" xr:uid="{00000000-0005-0000-0000-00006A090000}"/>
    <cellStyle name="Comma 64" xfId="2432" xr:uid="{00000000-0005-0000-0000-00006B090000}"/>
    <cellStyle name="Comma 65" xfId="2433" xr:uid="{00000000-0005-0000-0000-00006C090000}"/>
    <cellStyle name="Comma 66" xfId="2434" xr:uid="{00000000-0005-0000-0000-00006D090000}"/>
    <cellStyle name="Comma 67" xfId="2435" xr:uid="{00000000-0005-0000-0000-00006E090000}"/>
    <cellStyle name="Comma 68" xfId="2436" xr:uid="{00000000-0005-0000-0000-00006F090000}"/>
    <cellStyle name="Comma 69" xfId="2437" xr:uid="{00000000-0005-0000-0000-000070090000}"/>
    <cellStyle name="Comma 7" xfId="2438" xr:uid="{00000000-0005-0000-0000-000071090000}"/>
    <cellStyle name="Comma 70" xfId="2439" xr:uid="{00000000-0005-0000-0000-000072090000}"/>
    <cellStyle name="Comma 71" xfId="2440" xr:uid="{00000000-0005-0000-0000-000073090000}"/>
    <cellStyle name="Comma 72" xfId="2441" xr:uid="{00000000-0005-0000-0000-000074090000}"/>
    <cellStyle name="Comma 8" xfId="2442" xr:uid="{00000000-0005-0000-0000-000075090000}"/>
    <cellStyle name="Comma 8 2" xfId="2443" xr:uid="{00000000-0005-0000-0000-000076090000}"/>
    <cellStyle name="Comma 8 3" xfId="2444" xr:uid="{00000000-0005-0000-0000-000077090000}"/>
    <cellStyle name="Comma 8 3 2" xfId="2445" xr:uid="{00000000-0005-0000-0000-000078090000}"/>
    <cellStyle name="Comma 9" xfId="2446" xr:uid="{00000000-0005-0000-0000-000079090000}"/>
    <cellStyle name="Comma Cents" xfId="2447" xr:uid="{00000000-0005-0000-0000-00007A090000}"/>
    <cellStyle name="Comma no decimal" xfId="2448" xr:uid="{00000000-0005-0000-0000-00007B090000}"/>
    <cellStyle name="Comma one decimal" xfId="2449" xr:uid="{00000000-0005-0000-0000-00007C090000}"/>
    <cellStyle name="comma zerodec" xfId="2450" xr:uid="{00000000-0005-0000-0000-00007D090000}"/>
    <cellStyle name="Comma*" xfId="2451" xr:uid="{00000000-0005-0000-0000-00007E090000}"/>
    <cellStyle name="COMMA, 0" xfId="2452" xr:uid="{00000000-0005-0000-0000-00007F090000}"/>
    <cellStyle name="COMMA, 0 2" xfId="2453" xr:uid="{00000000-0005-0000-0000-000080090000}"/>
    <cellStyle name="COMMA, 0 2 2" xfId="2454" xr:uid="{00000000-0005-0000-0000-000081090000}"/>
    <cellStyle name="COMMA, 0 2 2 2" xfId="2455" xr:uid="{00000000-0005-0000-0000-000082090000}"/>
    <cellStyle name="COMMA, 0 2 2 2 2" xfId="2456" xr:uid="{00000000-0005-0000-0000-000083090000}"/>
    <cellStyle name="COMMA, 0 2 2 3" xfId="2457" xr:uid="{00000000-0005-0000-0000-000084090000}"/>
    <cellStyle name="COMMA, 0 2 2 3 2" xfId="2458" xr:uid="{00000000-0005-0000-0000-000085090000}"/>
    <cellStyle name="COMMA, 0 2 2 4" xfId="2459" xr:uid="{00000000-0005-0000-0000-000086090000}"/>
    <cellStyle name="COMMA, 0 2 3" xfId="2460" xr:uid="{00000000-0005-0000-0000-000087090000}"/>
    <cellStyle name="COMMA, 0 2 3 2" xfId="2461" xr:uid="{00000000-0005-0000-0000-000088090000}"/>
    <cellStyle name="COMMA, 0 2 3 2 2" xfId="2462" xr:uid="{00000000-0005-0000-0000-000089090000}"/>
    <cellStyle name="COMMA, 0 2 3 3" xfId="2463" xr:uid="{00000000-0005-0000-0000-00008A090000}"/>
    <cellStyle name="COMMA, 0 2 3 3 2" xfId="2464" xr:uid="{00000000-0005-0000-0000-00008B090000}"/>
    <cellStyle name="COMMA, 0 2 3 4" xfId="2465" xr:uid="{00000000-0005-0000-0000-00008C090000}"/>
    <cellStyle name="COMMA, 0 2 4" xfId="2466" xr:uid="{00000000-0005-0000-0000-00008D090000}"/>
    <cellStyle name="COMMA, 0 2 4 2" xfId="2467" xr:uid="{00000000-0005-0000-0000-00008E090000}"/>
    <cellStyle name="COMMA, 0 2 4 2 2" xfId="2468" xr:uid="{00000000-0005-0000-0000-00008F090000}"/>
    <cellStyle name="COMMA, 0 2 4 3" xfId="2469" xr:uid="{00000000-0005-0000-0000-000090090000}"/>
    <cellStyle name="COMMA, 0 2 4 3 2" xfId="2470" xr:uid="{00000000-0005-0000-0000-000091090000}"/>
    <cellStyle name="COMMA, 0 2 4 4" xfId="2471" xr:uid="{00000000-0005-0000-0000-000092090000}"/>
    <cellStyle name="COMMA, 0 2 5" xfId="2472" xr:uid="{00000000-0005-0000-0000-000093090000}"/>
    <cellStyle name="COMMA, 0 2 5 2" xfId="2473" xr:uid="{00000000-0005-0000-0000-000094090000}"/>
    <cellStyle name="COMMA, 0 2 6" xfId="2474" xr:uid="{00000000-0005-0000-0000-000095090000}"/>
    <cellStyle name="COMMA, 0 2 6 2" xfId="2475" xr:uid="{00000000-0005-0000-0000-000096090000}"/>
    <cellStyle name="COMMA, 0 2 7" xfId="2476" xr:uid="{00000000-0005-0000-0000-000097090000}"/>
    <cellStyle name="COMMA, 0 2 8" xfId="2477" xr:uid="{00000000-0005-0000-0000-000098090000}"/>
    <cellStyle name="COMMA, 0 3" xfId="2478" xr:uid="{00000000-0005-0000-0000-000099090000}"/>
    <cellStyle name="COMMA, 0 3 2" xfId="2479" xr:uid="{00000000-0005-0000-0000-00009A090000}"/>
    <cellStyle name="COMMA, 0 3 2 2" xfId="2480" xr:uid="{00000000-0005-0000-0000-00009B090000}"/>
    <cellStyle name="COMMA, 0 3 3" xfId="2481" xr:uid="{00000000-0005-0000-0000-00009C090000}"/>
    <cellStyle name="COMMA, 0 3 3 2" xfId="2482" xr:uid="{00000000-0005-0000-0000-00009D090000}"/>
    <cellStyle name="COMMA, 0 3 4" xfId="2483" xr:uid="{00000000-0005-0000-0000-00009E090000}"/>
    <cellStyle name="COMMA, 0 4" xfId="2484" xr:uid="{00000000-0005-0000-0000-00009F090000}"/>
    <cellStyle name="COMMA, 0 4 2" xfId="2485" xr:uid="{00000000-0005-0000-0000-0000A0090000}"/>
    <cellStyle name="COMMA, 0 4 2 2" xfId="2486" xr:uid="{00000000-0005-0000-0000-0000A1090000}"/>
    <cellStyle name="COMMA, 0 4 3" xfId="2487" xr:uid="{00000000-0005-0000-0000-0000A2090000}"/>
    <cellStyle name="COMMA, 0 4 3 2" xfId="2488" xr:uid="{00000000-0005-0000-0000-0000A3090000}"/>
    <cellStyle name="COMMA, 0 4 4" xfId="2489" xr:uid="{00000000-0005-0000-0000-0000A4090000}"/>
    <cellStyle name="COMMA, 0 5" xfId="2490" xr:uid="{00000000-0005-0000-0000-0000A5090000}"/>
    <cellStyle name="COMMA, 0 5 2" xfId="2491" xr:uid="{00000000-0005-0000-0000-0000A6090000}"/>
    <cellStyle name="COMMA, 0 5 2 2" xfId="2492" xr:uid="{00000000-0005-0000-0000-0000A7090000}"/>
    <cellStyle name="COMMA, 0 5 3" xfId="2493" xr:uid="{00000000-0005-0000-0000-0000A8090000}"/>
    <cellStyle name="COMMA, 0 5 3 2" xfId="2494" xr:uid="{00000000-0005-0000-0000-0000A9090000}"/>
    <cellStyle name="COMMA, 0 5 4" xfId="2495" xr:uid="{00000000-0005-0000-0000-0000AA090000}"/>
    <cellStyle name="COMMA, 0 6" xfId="2496" xr:uid="{00000000-0005-0000-0000-0000AB090000}"/>
    <cellStyle name="COMMA, 0 6 2" xfId="2497" xr:uid="{00000000-0005-0000-0000-0000AC090000}"/>
    <cellStyle name="COMMA, 0 7" xfId="2498" xr:uid="{00000000-0005-0000-0000-0000AD090000}"/>
    <cellStyle name="COMMA, 0 7 2" xfId="2499" xr:uid="{00000000-0005-0000-0000-0000AE090000}"/>
    <cellStyle name="COMMA, 0 8" xfId="2500" xr:uid="{00000000-0005-0000-0000-0000AF090000}"/>
    <cellStyle name="COMMA, 0 9" xfId="2501" xr:uid="{00000000-0005-0000-0000-0000B0090000}"/>
    <cellStyle name="Comma0" xfId="2502" xr:uid="{00000000-0005-0000-0000-0000B1090000}"/>
    <cellStyle name="Comma0 - Modelo1" xfId="2503" xr:uid="{00000000-0005-0000-0000-0000B2090000}"/>
    <cellStyle name="Comma0 - Style1" xfId="2504" xr:uid="{00000000-0005-0000-0000-0000B3090000}"/>
    <cellStyle name="Comma0 - Style2" xfId="2505" xr:uid="{00000000-0005-0000-0000-0000B4090000}"/>
    <cellStyle name="Comma0 10" xfId="2506" xr:uid="{00000000-0005-0000-0000-0000B5090000}"/>
    <cellStyle name="Comma0 2" xfId="2507" xr:uid="{00000000-0005-0000-0000-0000B6090000}"/>
    <cellStyle name="Comma0 3" xfId="2508" xr:uid="{00000000-0005-0000-0000-0000B7090000}"/>
    <cellStyle name="Comma0 4" xfId="2509" xr:uid="{00000000-0005-0000-0000-0000B8090000}"/>
    <cellStyle name="Comma0 5" xfId="2510" xr:uid="{00000000-0005-0000-0000-0000B9090000}"/>
    <cellStyle name="Comma0 6" xfId="2511" xr:uid="{00000000-0005-0000-0000-0000BA090000}"/>
    <cellStyle name="Comma0 7" xfId="2512" xr:uid="{00000000-0005-0000-0000-0000BB090000}"/>
    <cellStyle name="Comma0 8" xfId="2513" xr:uid="{00000000-0005-0000-0000-0000BC090000}"/>
    <cellStyle name="Comma0 9" xfId="2514" xr:uid="{00000000-0005-0000-0000-0000BD090000}"/>
    <cellStyle name="Comma0_{12.01.06.01.02} IBG_Liquidity_Forecast_03_03_08" xfId="2515" xr:uid="{00000000-0005-0000-0000-0000BE090000}"/>
    <cellStyle name="Comma1" xfId="2516" xr:uid="{00000000-0005-0000-0000-0000BF090000}"/>
    <cellStyle name="Comma1 - Modelo2" xfId="2517" xr:uid="{00000000-0005-0000-0000-0000C0090000}"/>
    <cellStyle name="Comma1 - Style1" xfId="2518" xr:uid="{00000000-0005-0000-0000-0000C1090000}"/>
    <cellStyle name="Comma1 - Style2" xfId="2519" xr:uid="{00000000-0005-0000-0000-0000C2090000}"/>
    <cellStyle name="Comma1 2" xfId="2520" xr:uid="{00000000-0005-0000-0000-0000C3090000}"/>
    <cellStyle name="Comma1 3" xfId="2521" xr:uid="{00000000-0005-0000-0000-0000C4090000}"/>
    <cellStyle name="Comma1 unp" xfId="2522" xr:uid="{00000000-0005-0000-0000-0000C5090000}"/>
    <cellStyle name="Comma1 unp 2" xfId="2523" xr:uid="{00000000-0005-0000-0000-0000C6090000}"/>
    <cellStyle name="Comma1 unp 3" xfId="2524" xr:uid="{00000000-0005-0000-0000-0000C7090000}"/>
    <cellStyle name="Comma1_~0009617" xfId="2525" xr:uid="{00000000-0005-0000-0000-0000C8090000}"/>
    <cellStyle name="Comma2" xfId="2526" xr:uid="{00000000-0005-0000-0000-0000C9090000}"/>
    <cellStyle name="Comma2 2" xfId="2527" xr:uid="{00000000-0005-0000-0000-0000CA090000}"/>
    <cellStyle name="Comma2 3" xfId="2528" xr:uid="{00000000-0005-0000-0000-0000CB090000}"/>
    <cellStyle name="Comma3" xfId="2529" xr:uid="{00000000-0005-0000-0000-0000CC090000}"/>
    <cellStyle name="Comma4" xfId="2530" xr:uid="{00000000-0005-0000-0000-0000CD090000}"/>
    <cellStyle name="Comment" xfId="2531" xr:uid="{00000000-0005-0000-0000-0000CE090000}"/>
    <cellStyle name="Company" xfId="2532" xr:uid="{00000000-0005-0000-0000-0000CF090000}"/>
    <cellStyle name="Company Name" xfId="2533" xr:uid="{00000000-0005-0000-0000-0000D0090000}"/>
    <cellStyle name="Company_Sheet1" xfId="2534" xr:uid="{00000000-0005-0000-0000-0000D1090000}"/>
    <cellStyle name="CompanyName" xfId="2535" xr:uid="{00000000-0005-0000-0000-0000D2090000}"/>
    <cellStyle name="Convergence" xfId="2536" xr:uid="{00000000-0005-0000-0000-0000D3090000}"/>
    <cellStyle name="Copied" xfId="2537" xr:uid="{00000000-0005-0000-0000-0000D4090000}"/>
    <cellStyle name="COST1" xfId="2538" xr:uid="{00000000-0005-0000-0000-0000D5090000}"/>
    <cellStyle name="ctkdata" xfId="2539" xr:uid="{00000000-0005-0000-0000-0000D6090000}"/>
    <cellStyle name="ctkdata 2" xfId="2540" xr:uid="{00000000-0005-0000-0000-0000D7090000}"/>
    <cellStyle name="ctkdata 3" xfId="2541" xr:uid="{00000000-0005-0000-0000-0000D8090000}"/>
    <cellStyle name="ctkdata 4" xfId="2542" xr:uid="{00000000-0005-0000-0000-0000D9090000}"/>
    <cellStyle name="ctkdata 5" xfId="2543" xr:uid="{00000000-0005-0000-0000-0000DA090000}"/>
    <cellStyle name="ctkheading" xfId="2544" xr:uid="{00000000-0005-0000-0000-0000DB090000}"/>
    <cellStyle name="CurRatio" xfId="2545" xr:uid="{00000000-0005-0000-0000-0000DC090000}"/>
    <cellStyle name="Currdate" xfId="2546" xr:uid="{00000000-0005-0000-0000-0000DD090000}"/>
    <cellStyle name="Currdate 2" xfId="2547" xr:uid="{00000000-0005-0000-0000-0000DE090000}"/>
    <cellStyle name="Currdate 2 2" xfId="2548" xr:uid="{00000000-0005-0000-0000-0000DF090000}"/>
    <cellStyle name="Currdate 2 2 2" xfId="2549" xr:uid="{00000000-0005-0000-0000-0000E0090000}"/>
    <cellStyle name="Currdate 2 3" xfId="2550" xr:uid="{00000000-0005-0000-0000-0000E1090000}"/>
    <cellStyle name="Currdate 2 3 2" xfId="2551" xr:uid="{00000000-0005-0000-0000-0000E2090000}"/>
    <cellStyle name="Currdate 2 4" xfId="2552" xr:uid="{00000000-0005-0000-0000-0000E3090000}"/>
    <cellStyle name="Currdate 3" xfId="2553" xr:uid="{00000000-0005-0000-0000-0000E4090000}"/>
    <cellStyle name="Currdate 3 2" xfId="2554" xr:uid="{00000000-0005-0000-0000-0000E5090000}"/>
    <cellStyle name="Currdate 3 2 2" xfId="2555" xr:uid="{00000000-0005-0000-0000-0000E6090000}"/>
    <cellStyle name="Currdate 3 3" xfId="2556" xr:uid="{00000000-0005-0000-0000-0000E7090000}"/>
    <cellStyle name="Currdate 3 3 2" xfId="2557" xr:uid="{00000000-0005-0000-0000-0000E8090000}"/>
    <cellStyle name="Currdate 3 4" xfId="2558" xr:uid="{00000000-0005-0000-0000-0000E9090000}"/>
    <cellStyle name="Currdate 4" xfId="2559" xr:uid="{00000000-0005-0000-0000-0000EA090000}"/>
    <cellStyle name="Currdate 4 2" xfId="2560" xr:uid="{00000000-0005-0000-0000-0000EB090000}"/>
    <cellStyle name="Currdate 5" xfId="2561" xr:uid="{00000000-0005-0000-0000-0000EC090000}"/>
    <cellStyle name="Currdate 5 2" xfId="2562" xr:uid="{00000000-0005-0000-0000-0000ED090000}"/>
    <cellStyle name="Currdate 6" xfId="2563" xr:uid="{00000000-0005-0000-0000-0000EE090000}"/>
    <cellStyle name="Currdate 7" xfId="2564" xr:uid="{00000000-0005-0000-0000-0000EF090000}"/>
    <cellStyle name="Curre΅cy" xfId="2565" xr:uid="{00000000-0005-0000-0000-0000F0090000}"/>
    <cellStyle name="Curre΅cy 2" xfId="2566" xr:uid="{00000000-0005-0000-0000-0000F1090000}"/>
    <cellStyle name="Curre΅cy 3" xfId="2567" xr:uid="{00000000-0005-0000-0000-0000F2090000}"/>
    <cellStyle name="Curren - Style7" xfId="2568" xr:uid="{00000000-0005-0000-0000-0000F3090000}"/>
    <cellStyle name="Curren - Style8" xfId="2569" xr:uid="{00000000-0005-0000-0000-0000F4090000}"/>
    <cellStyle name="Currency--" xfId="2570" xr:uid="{00000000-0005-0000-0000-0000F5090000}"/>
    <cellStyle name="Currency (0)" xfId="2571" xr:uid="{00000000-0005-0000-0000-0000F6090000}"/>
    <cellStyle name="Currency (2)" xfId="2572" xr:uid="{00000000-0005-0000-0000-0000F7090000}"/>
    <cellStyle name="Currency [0] - Credits" xfId="2573" xr:uid="{00000000-0005-0000-0000-0000F8090000}"/>
    <cellStyle name="Currency [0] - Debits" xfId="2574" xr:uid="{00000000-0005-0000-0000-0000F9090000}"/>
    <cellStyle name="Currency [0]Center" xfId="2575" xr:uid="{00000000-0005-0000-0000-0000FA090000}"/>
    <cellStyle name="Currency [00]" xfId="2576" xr:uid="{00000000-0005-0000-0000-0000FB090000}"/>
    <cellStyle name="Currency [1]" xfId="2577" xr:uid="{00000000-0005-0000-0000-0000FC090000}"/>
    <cellStyle name="Currency [2]" xfId="2578" xr:uid="{00000000-0005-0000-0000-0000FD090000}"/>
    <cellStyle name="Currency [2] 2" xfId="2579" xr:uid="{00000000-0005-0000-0000-0000FE090000}"/>
    <cellStyle name="Currency [2] 3" xfId="2580" xr:uid="{00000000-0005-0000-0000-0000FF090000}"/>
    <cellStyle name="Currency 0" xfId="2581" xr:uid="{00000000-0005-0000-0000-0000000A0000}"/>
    <cellStyle name="Currency 0.0" xfId="2582" xr:uid="{00000000-0005-0000-0000-0000010A0000}"/>
    <cellStyle name="Currency 0.00" xfId="2583" xr:uid="{00000000-0005-0000-0000-0000020A0000}"/>
    <cellStyle name="Currency 0.000" xfId="2584" xr:uid="{00000000-0005-0000-0000-0000030A0000}"/>
    <cellStyle name="Currency 0.0000" xfId="2585" xr:uid="{00000000-0005-0000-0000-0000040A0000}"/>
    <cellStyle name="Currency 10" xfId="2586" xr:uid="{00000000-0005-0000-0000-0000050A0000}"/>
    <cellStyle name="Currency 11" xfId="2587" xr:uid="{00000000-0005-0000-0000-0000060A0000}"/>
    <cellStyle name="Currency 12" xfId="2588" xr:uid="{00000000-0005-0000-0000-0000070A0000}"/>
    <cellStyle name="Currency 13" xfId="2589" xr:uid="{00000000-0005-0000-0000-0000080A0000}"/>
    <cellStyle name="Currency 2" xfId="2590" xr:uid="{00000000-0005-0000-0000-0000090A0000}"/>
    <cellStyle name="Currency-- 2" xfId="2591" xr:uid="{00000000-0005-0000-0000-00000A0A0000}"/>
    <cellStyle name="Currency 2 2" xfId="2592" xr:uid="{00000000-0005-0000-0000-00000B0A0000}"/>
    <cellStyle name="Currency 2 2 2" xfId="2593" xr:uid="{00000000-0005-0000-0000-00000C0A0000}"/>
    <cellStyle name="Currency 2 3" xfId="2594" xr:uid="{00000000-0005-0000-0000-00000D0A0000}"/>
    <cellStyle name="Currency 2 3 2" xfId="2595" xr:uid="{00000000-0005-0000-0000-00000E0A0000}"/>
    <cellStyle name="Currency 3" xfId="2596" xr:uid="{00000000-0005-0000-0000-00000F0A0000}"/>
    <cellStyle name="Currency 3 2" xfId="2597" xr:uid="{00000000-0005-0000-0000-0000100A0000}"/>
    <cellStyle name="Currency 3 2 2" xfId="2598" xr:uid="{00000000-0005-0000-0000-0000110A0000}"/>
    <cellStyle name="Currency 3 3" xfId="2599" xr:uid="{00000000-0005-0000-0000-0000120A0000}"/>
    <cellStyle name="Currency 3 4" xfId="2600" xr:uid="{00000000-0005-0000-0000-0000130A0000}"/>
    <cellStyle name="Currency 3 5" xfId="2601" xr:uid="{00000000-0005-0000-0000-0000140A0000}"/>
    <cellStyle name="Currency 4" xfId="2602" xr:uid="{00000000-0005-0000-0000-0000150A0000}"/>
    <cellStyle name="Currency 4 2" xfId="2603" xr:uid="{00000000-0005-0000-0000-0000160A0000}"/>
    <cellStyle name="Currency 4 3" xfId="2604" xr:uid="{00000000-0005-0000-0000-0000170A0000}"/>
    <cellStyle name="Currency 5" xfId="2605" xr:uid="{00000000-0005-0000-0000-0000180A0000}"/>
    <cellStyle name="Currency 6" xfId="2606" xr:uid="{00000000-0005-0000-0000-0000190A0000}"/>
    <cellStyle name="Currency 7" xfId="2607" xr:uid="{00000000-0005-0000-0000-00001A0A0000}"/>
    <cellStyle name="Currency 8" xfId="2608" xr:uid="{00000000-0005-0000-0000-00001B0A0000}"/>
    <cellStyle name="Currency 9" xfId="2609" xr:uid="{00000000-0005-0000-0000-00001C0A0000}"/>
    <cellStyle name="Currency$" xfId="2610" xr:uid="{00000000-0005-0000-0000-00001D0A0000}"/>
    <cellStyle name="Currency$ 2" xfId="2611" xr:uid="{00000000-0005-0000-0000-00001E0A0000}"/>
    <cellStyle name="Currency(1)" xfId="2612" xr:uid="{00000000-0005-0000-0000-00001F0A0000}"/>
    <cellStyle name="Currency*" xfId="2613" xr:uid="{00000000-0005-0000-0000-0000200A0000}"/>
    <cellStyle name="Currency--_ARM Roof_Val v7" xfId="2614" xr:uid="{00000000-0005-0000-0000-0000210A0000}"/>
    <cellStyle name="Currency0" xfId="2615" xr:uid="{00000000-0005-0000-0000-0000220A0000}"/>
    <cellStyle name="Currency1" xfId="2616" xr:uid="{00000000-0005-0000-0000-0000230A0000}"/>
    <cellStyle name="Currency1 2" xfId="2617" xr:uid="{00000000-0005-0000-0000-0000240A0000}"/>
    <cellStyle name="Currency1 3" xfId="2618" xr:uid="{00000000-0005-0000-0000-0000250A0000}"/>
    <cellStyle name="Currency2" xfId="2619" xr:uid="{00000000-0005-0000-0000-0000260A0000}"/>
    <cellStyle name="Currency3" xfId="2620" xr:uid="{00000000-0005-0000-0000-0000270A0000}"/>
    <cellStyle name="Custom" xfId="2621" xr:uid="{00000000-0005-0000-0000-0000280A0000}"/>
    <cellStyle name="Cyan bold" xfId="2622" xr:uid="{00000000-0005-0000-0000-0000290A0000}"/>
    <cellStyle name="Cyan bold underlined" xfId="2623" xr:uid="{00000000-0005-0000-0000-00002A0A0000}"/>
    <cellStyle name="Cyan bold_ALLOWANCES" xfId="2624" xr:uid="{00000000-0005-0000-0000-00002B0A0000}"/>
    <cellStyle name="Cyan italic" xfId="2625" xr:uid="{00000000-0005-0000-0000-00002C0A0000}"/>
    <cellStyle name="C㯵rrency_㳔PC Data" xfId="2626" xr:uid="{00000000-0005-0000-0000-00002D0A0000}"/>
    <cellStyle name="D1" xfId="2627" xr:uid="{00000000-0005-0000-0000-00002E0A0000}"/>
    <cellStyle name="D2" xfId="2628" xr:uid="{00000000-0005-0000-0000-00002F0A0000}"/>
    <cellStyle name="Dash" xfId="2629" xr:uid="{00000000-0005-0000-0000-0000300A0000}"/>
    <cellStyle name="data" xfId="2630" xr:uid="{00000000-0005-0000-0000-0000310A0000}"/>
    <cellStyle name="data1" xfId="2631" xr:uid="{00000000-0005-0000-0000-0000320A0000}"/>
    <cellStyle name="data1 2" xfId="2632" xr:uid="{00000000-0005-0000-0000-0000330A0000}"/>
    <cellStyle name="data1 3" xfId="2633" xr:uid="{00000000-0005-0000-0000-0000340A0000}"/>
    <cellStyle name="data1 4" xfId="2634" xr:uid="{00000000-0005-0000-0000-0000350A0000}"/>
    <cellStyle name="data1 5" xfId="2635" xr:uid="{00000000-0005-0000-0000-0000360A0000}"/>
    <cellStyle name="data2" xfId="2636" xr:uid="{00000000-0005-0000-0000-0000370A0000}"/>
    <cellStyle name="data2 2" xfId="2637" xr:uid="{00000000-0005-0000-0000-0000380A0000}"/>
    <cellStyle name="data2 3" xfId="2638" xr:uid="{00000000-0005-0000-0000-0000390A0000}"/>
    <cellStyle name="data2 4" xfId="2639" xr:uid="{00000000-0005-0000-0000-00003A0A0000}"/>
    <cellStyle name="data2 5" xfId="2640" xr:uid="{00000000-0005-0000-0000-00003B0A0000}"/>
    <cellStyle name="DataOneDigit" xfId="2641" xr:uid="{00000000-0005-0000-0000-00003C0A0000}"/>
    <cellStyle name="DataOneDigit 2" xfId="2642" xr:uid="{00000000-0005-0000-0000-00003D0A0000}"/>
    <cellStyle name="DataOneDigit 3" xfId="2643" xr:uid="{00000000-0005-0000-0000-00003E0A0000}"/>
    <cellStyle name="Date" xfId="2644" xr:uid="{00000000-0005-0000-0000-00003F0A0000}"/>
    <cellStyle name="Date - Style3" xfId="2645" xr:uid="{00000000-0005-0000-0000-0000400A0000}"/>
    <cellStyle name="Date [d-mmm-yy]" xfId="2646" xr:uid="{00000000-0005-0000-0000-0000410A0000}"/>
    <cellStyle name="Date [mm-d-yy]" xfId="2647" xr:uid="{00000000-0005-0000-0000-0000420A0000}"/>
    <cellStyle name="Date [mm-d-yyyy]" xfId="2648" xr:uid="{00000000-0005-0000-0000-0000430A0000}"/>
    <cellStyle name="Date [mm-d-yyyy] 2" xfId="2649" xr:uid="{00000000-0005-0000-0000-0000440A0000}"/>
    <cellStyle name="Date [mm-d-yyyy] 2 2" xfId="2650" xr:uid="{00000000-0005-0000-0000-0000450A0000}"/>
    <cellStyle name="Date [mm-d-yyyy] 2 2 2" xfId="2651" xr:uid="{00000000-0005-0000-0000-0000460A0000}"/>
    <cellStyle name="Date [mm-d-yyyy] 2 3" xfId="2652" xr:uid="{00000000-0005-0000-0000-0000470A0000}"/>
    <cellStyle name="Date [mm-d-yyyy] 2 3 2" xfId="2653" xr:uid="{00000000-0005-0000-0000-0000480A0000}"/>
    <cellStyle name="Date [mm-d-yyyy] 2 4" xfId="2654" xr:uid="{00000000-0005-0000-0000-0000490A0000}"/>
    <cellStyle name="Date [mm-d-yyyy] 3" xfId="2655" xr:uid="{00000000-0005-0000-0000-00004A0A0000}"/>
    <cellStyle name="Date [mm-d-yyyy] 3 2" xfId="2656" xr:uid="{00000000-0005-0000-0000-00004B0A0000}"/>
    <cellStyle name="Date [mm-d-yyyy] 4" xfId="2657" xr:uid="{00000000-0005-0000-0000-00004C0A0000}"/>
    <cellStyle name="Date [mm-d-yyyy] 4 2" xfId="2658" xr:uid="{00000000-0005-0000-0000-00004D0A0000}"/>
    <cellStyle name="Date [mm-d-yyyy] 5" xfId="2659" xr:uid="{00000000-0005-0000-0000-00004E0A0000}"/>
    <cellStyle name="Date [mm-d-yyyy] 6" xfId="2660" xr:uid="{00000000-0005-0000-0000-00004F0A0000}"/>
    <cellStyle name="Date [mmm-d-yyyy]" xfId="2661" xr:uid="{00000000-0005-0000-0000-0000500A0000}"/>
    <cellStyle name="Date [mmm-yy]" xfId="2662" xr:uid="{00000000-0005-0000-0000-0000510A0000}"/>
    <cellStyle name="Date [mmm-yyyy]" xfId="2663" xr:uid="{00000000-0005-0000-0000-0000520A0000}"/>
    <cellStyle name="Date [mmm-yyyy] 2" xfId="2664" xr:uid="{00000000-0005-0000-0000-0000530A0000}"/>
    <cellStyle name="Date [mmm-yyyy] 2 2" xfId="2665" xr:uid="{00000000-0005-0000-0000-0000540A0000}"/>
    <cellStyle name="Date [mmm-yyyy] 2 2 2" xfId="2666" xr:uid="{00000000-0005-0000-0000-0000550A0000}"/>
    <cellStyle name="Date [mmm-yyyy] 2 3" xfId="2667" xr:uid="{00000000-0005-0000-0000-0000560A0000}"/>
    <cellStyle name="Date [mmm-yyyy] 2 3 2" xfId="2668" xr:uid="{00000000-0005-0000-0000-0000570A0000}"/>
    <cellStyle name="Date [mmm-yyyy] 2 4" xfId="2669" xr:uid="{00000000-0005-0000-0000-0000580A0000}"/>
    <cellStyle name="Date [mmm-yyyy] 3" xfId="2670" xr:uid="{00000000-0005-0000-0000-0000590A0000}"/>
    <cellStyle name="Date [mmm-yyyy] 3 2" xfId="2671" xr:uid="{00000000-0005-0000-0000-00005A0A0000}"/>
    <cellStyle name="Date [mmm-yyyy] 3 2 2" xfId="2672" xr:uid="{00000000-0005-0000-0000-00005B0A0000}"/>
    <cellStyle name="Date [mmm-yyyy] 3 3" xfId="2673" xr:uid="{00000000-0005-0000-0000-00005C0A0000}"/>
    <cellStyle name="Date [mmm-yyyy] 3 3 2" xfId="2674" xr:uid="{00000000-0005-0000-0000-00005D0A0000}"/>
    <cellStyle name="Date [mmm-yyyy] 3 4" xfId="2675" xr:uid="{00000000-0005-0000-0000-00005E0A0000}"/>
    <cellStyle name="Date [mmm-yyyy] 4" xfId="2676" xr:uid="{00000000-0005-0000-0000-00005F0A0000}"/>
    <cellStyle name="Date [mmm-yyyy] 4 2" xfId="2677" xr:uid="{00000000-0005-0000-0000-0000600A0000}"/>
    <cellStyle name="Date [mmm-yyyy] 5" xfId="2678" xr:uid="{00000000-0005-0000-0000-0000610A0000}"/>
    <cellStyle name="Date [mmm-yyyy] 5 2" xfId="2679" xr:uid="{00000000-0005-0000-0000-0000620A0000}"/>
    <cellStyle name="Date [mmm-yyyy] 6" xfId="2680" xr:uid="{00000000-0005-0000-0000-0000630A0000}"/>
    <cellStyle name="Date [mmm-yyyy] 6 2" xfId="2681" xr:uid="{00000000-0005-0000-0000-0000640A0000}"/>
    <cellStyle name="Date [mmm-yyyy] 7" xfId="2682" xr:uid="{00000000-0005-0000-0000-0000650A0000}"/>
    <cellStyle name="Date [mmm-yyyy] 7 2" xfId="2683" xr:uid="{00000000-0005-0000-0000-0000660A0000}"/>
    <cellStyle name="Date [mmm-yyyy] 8" xfId="2684" xr:uid="{00000000-0005-0000-0000-0000670A0000}"/>
    <cellStyle name="Date 1" xfId="2685" xr:uid="{00000000-0005-0000-0000-0000680A0000}"/>
    <cellStyle name="Date 10" xfId="2686" xr:uid="{00000000-0005-0000-0000-0000690A0000}"/>
    <cellStyle name="Date 2" xfId="2687" xr:uid="{00000000-0005-0000-0000-00006A0A0000}"/>
    <cellStyle name="Date 3" xfId="2688" xr:uid="{00000000-0005-0000-0000-00006B0A0000}"/>
    <cellStyle name="Date 4" xfId="2689" xr:uid="{00000000-0005-0000-0000-00006C0A0000}"/>
    <cellStyle name="Date 5" xfId="2690" xr:uid="{00000000-0005-0000-0000-00006D0A0000}"/>
    <cellStyle name="Date 6" xfId="2691" xr:uid="{00000000-0005-0000-0000-00006E0A0000}"/>
    <cellStyle name="Date 7" xfId="2692" xr:uid="{00000000-0005-0000-0000-00006F0A0000}"/>
    <cellStyle name="Date 8" xfId="2693" xr:uid="{00000000-0005-0000-0000-0000700A0000}"/>
    <cellStyle name="Date 9" xfId="2694" xr:uid="{00000000-0005-0000-0000-0000710A0000}"/>
    <cellStyle name="Date Aligned" xfId="2695" xr:uid="{00000000-0005-0000-0000-0000720A0000}"/>
    <cellStyle name="Date m/d/yy" xfId="2696" xr:uid="{00000000-0005-0000-0000-0000730A0000}"/>
    <cellStyle name="Date Short" xfId="2697" xr:uid="{00000000-0005-0000-0000-0000740A0000}"/>
    <cellStyle name="date_~2593847" xfId="2698" xr:uid="{00000000-0005-0000-0000-0000750A0000}"/>
    <cellStyle name="Date1" xfId="2699" xr:uid="{00000000-0005-0000-0000-0000760A0000}"/>
    <cellStyle name="Date2" xfId="2700" xr:uid="{00000000-0005-0000-0000-0000770A0000}"/>
    <cellStyle name="DateFull" xfId="2701" xr:uid="{00000000-0005-0000-0000-0000780A0000}"/>
    <cellStyle name="DateInput" xfId="2702" xr:uid="{00000000-0005-0000-0000-0000790A0000}"/>
    <cellStyle name="DateNoYear" xfId="2703" xr:uid="{00000000-0005-0000-0000-00007A0A0000}"/>
    <cellStyle name="DateNoYear 2" xfId="2704" xr:uid="{00000000-0005-0000-0000-00007B0A0000}"/>
    <cellStyle name="DateOnly" xfId="3" xr:uid="{00000000-0005-0000-0000-00007C0A0000}"/>
    <cellStyle name="Dates" xfId="2705" xr:uid="{00000000-0005-0000-0000-00007D0A0000}"/>
    <cellStyle name="DateTime" xfId="4" xr:uid="{00000000-0005-0000-0000-00007E0A0000}"/>
    <cellStyle name="DateYear" xfId="2706" xr:uid="{00000000-0005-0000-0000-00007F0A0000}"/>
    <cellStyle name="DBL - Style1" xfId="2707" xr:uid="{00000000-0005-0000-0000-0000800A0000}"/>
    <cellStyle name="DealTicketAddress" xfId="2708" xr:uid="{00000000-0005-0000-0000-0000810A0000}"/>
    <cellStyle name="DealTicketAddress 2" xfId="2709" xr:uid="{00000000-0005-0000-0000-0000820A0000}"/>
    <cellStyle name="DealTicketAddress 3" xfId="2710" xr:uid="{00000000-0005-0000-0000-0000830A0000}"/>
    <cellStyle name="DealTicketAddress 4" xfId="2711" xr:uid="{00000000-0005-0000-0000-0000840A0000}"/>
    <cellStyle name="DealTicketAddress 5" xfId="2712" xr:uid="{00000000-0005-0000-0000-0000850A0000}"/>
    <cellStyle name="DealTicketData" xfId="2713" xr:uid="{00000000-0005-0000-0000-0000860A0000}"/>
    <cellStyle name="DealTicketData 2" xfId="2714" xr:uid="{00000000-0005-0000-0000-0000870A0000}"/>
    <cellStyle name="DealTicketData 3" xfId="2715" xr:uid="{00000000-0005-0000-0000-0000880A0000}"/>
    <cellStyle name="DealTicketData 4" xfId="2716" xr:uid="{00000000-0005-0000-0000-0000890A0000}"/>
    <cellStyle name="DealTicketData 5" xfId="2717" xr:uid="{00000000-0005-0000-0000-00008A0A0000}"/>
    <cellStyle name="December 1994" xfId="2718" xr:uid="{00000000-0005-0000-0000-00008B0A0000}"/>
    <cellStyle name="Decimal" xfId="2719" xr:uid="{00000000-0005-0000-0000-00008C0A0000}"/>
    <cellStyle name="Default_Formula" xfId="2720" xr:uid="{00000000-0005-0000-0000-00008D0A0000}"/>
    <cellStyle name="Del" xfId="2721" xr:uid="{00000000-0005-0000-0000-00008E0A0000}"/>
    <cellStyle name="DELTA" xfId="2722" xr:uid="{00000000-0005-0000-0000-00008F0A0000}"/>
    <cellStyle name="Dezimal [0]_092003" xfId="2723" xr:uid="{00000000-0005-0000-0000-0000900A0000}"/>
    <cellStyle name="Dezimal_092003" xfId="2724" xr:uid="{00000000-0005-0000-0000-0000910A0000}"/>
    <cellStyle name="dft.Optional" xfId="2725" xr:uid="{00000000-0005-0000-0000-0000920A0000}"/>
    <cellStyle name="dft.Required" xfId="2726" xr:uid="{00000000-0005-0000-0000-0000930A0000}"/>
    <cellStyle name="Dia" xfId="2727" xr:uid="{00000000-0005-0000-0000-0000940A0000}"/>
    <cellStyle name="Dimension" xfId="2728" xr:uid="{00000000-0005-0000-0000-0000950A0000}"/>
    <cellStyle name="Dollar" xfId="2729" xr:uid="{00000000-0005-0000-0000-0000960A0000}"/>
    <cellStyle name="Dollar (zero dec)" xfId="2730" xr:uid="{00000000-0005-0000-0000-0000970A0000}"/>
    <cellStyle name="Dollar Display" xfId="2731" xr:uid="{00000000-0005-0000-0000-0000980A0000}"/>
    <cellStyle name="Dollar Input" xfId="2732" xr:uid="{00000000-0005-0000-0000-0000990A0000}"/>
    <cellStyle name="Dollar(0)" xfId="2733" xr:uid="{00000000-0005-0000-0000-00009A0A0000}"/>
    <cellStyle name="Dollar(1)" xfId="2734" xr:uid="{00000000-0005-0000-0000-00009B0A0000}"/>
    <cellStyle name="Dollar(2)" xfId="2735" xr:uid="{00000000-0005-0000-0000-00009C0A0000}"/>
    <cellStyle name="Dollar_Data" xfId="2736" xr:uid="{00000000-0005-0000-0000-00009D0A0000}"/>
    <cellStyle name="DollarFraction" xfId="2737" xr:uid="{00000000-0005-0000-0000-00009E0A0000}"/>
    <cellStyle name="DollarFraction 2" xfId="2738" xr:uid="{00000000-0005-0000-0000-00009F0A0000}"/>
    <cellStyle name="DollarFraction 3" xfId="2739" xr:uid="{00000000-0005-0000-0000-0000A00A0000}"/>
    <cellStyle name="Dollars" xfId="2740" xr:uid="{00000000-0005-0000-0000-0000A10A0000}"/>
    <cellStyle name="DollarWhole" xfId="2741" xr:uid="{00000000-0005-0000-0000-0000A20A0000}"/>
    <cellStyle name="Dotted Line" xfId="2742" xr:uid="{00000000-0005-0000-0000-0000A30A0000}"/>
    <cellStyle name="DOUBLE - Style1" xfId="2743" xr:uid="{00000000-0005-0000-0000-0000A40A0000}"/>
    <cellStyle name="Download" xfId="2744" xr:uid="{00000000-0005-0000-0000-0000A50A0000}"/>
    <cellStyle name="Download 2" xfId="2745" xr:uid="{00000000-0005-0000-0000-0000A60A0000}"/>
    <cellStyle name="Download 3" xfId="2746" xr:uid="{00000000-0005-0000-0000-0000A70A0000}"/>
    <cellStyle name="Download 4" xfId="2747" xr:uid="{00000000-0005-0000-0000-0000A80A0000}"/>
    <cellStyle name="Download 5" xfId="2748" xr:uid="{00000000-0005-0000-0000-0000A90A0000}"/>
    <cellStyle name="Download 6" xfId="2749" xr:uid="{00000000-0005-0000-0000-0000AA0A0000}"/>
    <cellStyle name="Driver" xfId="2750" xr:uid="{00000000-0005-0000-0000-0000AB0A0000}"/>
    <cellStyle name="e" xfId="2751" xr:uid="{00000000-0005-0000-0000-0000AC0A0000}"/>
    <cellStyle name="e 2" xfId="2752" xr:uid="{00000000-0005-0000-0000-0000AD0A0000}"/>
    <cellStyle name="e 3" xfId="2753" xr:uid="{00000000-0005-0000-0000-0000AE0A0000}"/>
    <cellStyle name="e 4" xfId="2754" xr:uid="{00000000-0005-0000-0000-0000AF0A0000}"/>
    <cellStyle name="e 5" xfId="2755" xr:uid="{00000000-0005-0000-0000-0000B00A0000}"/>
    <cellStyle name="Eingabefeld" xfId="2756" xr:uid="{00000000-0005-0000-0000-0000B10A0000}"/>
    <cellStyle name="Eingabefeld 2" xfId="2757" xr:uid="{00000000-0005-0000-0000-0000B20A0000}"/>
    <cellStyle name="Eingabefeld 3" xfId="2758" xr:uid="{00000000-0005-0000-0000-0000B30A0000}"/>
    <cellStyle name="Eingabefeld 4" xfId="2759" xr:uid="{00000000-0005-0000-0000-0000B40A0000}"/>
    <cellStyle name="Eingabefeld 5" xfId="2760" xr:uid="{00000000-0005-0000-0000-0000B50A0000}"/>
    <cellStyle name="Eingabewert Dat" xfId="2761" xr:uid="{00000000-0005-0000-0000-0000B60A0000}"/>
    <cellStyle name="EMR" xfId="2762" xr:uid="{00000000-0005-0000-0000-0000B70A0000}"/>
    <cellStyle name="Encabez1" xfId="2763" xr:uid="{00000000-0005-0000-0000-0000B80A0000}"/>
    <cellStyle name="Encabez2" xfId="2764" xr:uid="{00000000-0005-0000-0000-0000B90A0000}"/>
    <cellStyle name="Enter Currency (0)" xfId="2765" xr:uid="{00000000-0005-0000-0000-0000BA0A0000}"/>
    <cellStyle name="Enter Currency (2)" xfId="2766" xr:uid="{00000000-0005-0000-0000-0000BB0A0000}"/>
    <cellStyle name="Enter Units (0)" xfId="2767" xr:uid="{00000000-0005-0000-0000-0000BC0A0000}"/>
    <cellStyle name="Enter Units (1)" xfId="2768" xr:uid="{00000000-0005-0000-0000-0000BD0A0000}"/>
    <cellStyle name="Enter Units (2)" xfId="2769" xr:uid="{00000000-0005-0000-0000-0000BE0A0000}"/>
    <cellStyle name="Entered" xfId="2770" xr:uid="{00000000-0005-0000-0000-0000BF0A0000}"/>
    <cellStyle name="En-tête" xfId="2771" xr:uid="{00000000-0005-0000-0000-0000C00A0000}"/>
    <cellStyle name="Equinox Automatic" xfId="2772" xr:uid="{00000000-0005-0000-0000-0000C10A0000}"/>
    <cellStyle name="Equinox Blue Text" xfId="2773" xr:uid="{00000000-0005-0000-0000-0000C20A0000}"/>
    <cellStyle name="Equinox DkRed Text" xfId="2774" xr:uid="{00000000-0005-0000-0000-0000C30A0000}"/>
    <cellStyle name="Equinox Grey Text" xfId="2775" xr:uid="{00000000-0005-0000-0000-0000C40A0000}"/>
    <cellStyle name="Equinox Greyout" xfId="2776" xr:uid="{00000000-0005-0000-0000-0000C50A0000}"/>
    <cellStyle name="Equinox Inactive" xfId="2777" xr:uid="{00000000-0005-0000-0000-0000C60A0000}"/>
    <cellStyle name="Equinox Red Text" xfId="2778" xr:uid="{00000000-0005-0000-0000-0000C70A0000}"/>
    <cellStyle name="Ergebnisfeld" xfId="2779" xr:uid="{00000000-0005-0000-0000-0000C80A0000}"/>
    <cellStyle name="Ergebnisfeld 2" xfId="2780" xr:uid="{00000000-0005-0000-0000-0000C90A0000}"/>
    <cellStyle name="Ergebnisfeld 3" xfId="2781" xr:uid="{00000000-0005-0000-0000-0000CA0A0000}"/>
    <cellStyle name="Ergebnisfeld 4" xfId="2782" xr:uid="{00000000-0005-0000-0000-0000CB0A0000}"/>
    <cellStyle name="Ergebnisfeld 5" xfId="2783" xr:uid="{00000000-0005-0000-0000-0000CC0A0000}"/>
    <cellStyle name="Error" xfId="2784" xr:uid="{00000000-0005-0000-0000-0000CD0A0000}"/>
    <cellStyle name="Error 2" xfId="2785" xr:uid="{00000000-0005-0000-0000-0000CE0A0000}"/>
    <cellStyle name="Error 3" xfId="2786" xr:uid="{00000000-0005-0000-0000-0000CF0A0000}"/>
    <cellStyle name="Error 4" xfId="2787" xr:uid="{00000000-0005-0000-0000-0000D00A0000}"/>
    <cellStyle name="Error 5" xfId="2788" xr:uid="{00000000-0005-0000-0000-0000D10A0000}"/>
    <cellStyle name="Euro" xfId="2789" xr:uid="{00000000-0005-0000-0000-0000D20A0000}"/>
    <cellStyle name="Euro 2" xfId="2790" xr:uid="{00000000-0005-0000-0000-0000D30A0000}"/>
    <cellStyle name="Euro 3" xfId="2791" xr:uid="{00000000-0005-0000-0000-0000D40A0000}"/>
    <cellStyle name="Euro Display" xfId="2792" xr:uid="{00000000-0005-0000-0000-0000D50A0000}"/>
    <cellStyle name="Euro Input" xfId="2793" xr:uid="{00000000-0005-0000-0000-0000D60A0000}"/>
    <cellStyle name="Euro_ Agenda" xfId="2794" xr:uid="{00000000-0005-0000-0000-0000D70A0000}"/>
    <cellStyle name="Excession" xfId="2795" xr:uid="{00000000-0005-0000-0000-0000D80A0000}"/>
    <cellStyle name="Explanatory Text" xfId="20" builtinId="53" customBuiltin="1"/>
    <cellStyle name="f" xfId="2796" xr:uid="{00000000-0005-0000-0000-0000DA0A0000}"/>
    <cellStyle name="f 2" xfId="2797" xr:uid="{00000000-0005-0000-0000-0000DB0A0000}"/>
    <cellStyle name="f 2 2" xfId="2798" xr:uid="{00000000-0005-0000-0000-0000DC0A0000}"/>
    <cellStyle name="f 2 2 2" xfId="2799" xr:uid="{00000000-0005-0000-0000-0000DD0A0000}"/>
    <cellStyle name="f 2 3" xfId="2800" xr:uid="{00000000-0005-0000-0000-0000DE0A0000}"/>
    <cellStyle name="f 2 3 2" xfId="2801" xr:uid="{00000000-0005-0000-0000-0000DF0A0000}"/>
    <cellStyle name="f 2 4" xfId="2802" xr:uid="{00000000-0005-0000-0000-0000E00A0000}"/>
    <cellStyle name="f 3" xfId="2803" xr:uid="{00000000-0005-0000-0000-0000E10A0000}"/>
    <cellStyle name="f 3 2" xfId="2804" xr:uid="{00000000-0005-0000-0000-0000E20A0000}"/>
    <cellStyle name="f 3 2 2" xfId="2805" xr:uid="{00000000-0005-0000-0000-0000E30A0000}"/>
    <cellStyle name="f 3 3" xfId="2806" xr:uid="{00000000-0005-0000-0000-0000E40A0000}"/>
    <cellStyle name="f 3 3 2" xfId="2807" xr:uid="{00000000-0005-0000-0000-0000E50A0000}"/>
    <cellStyle name="f 3 4" xfId="2808" xr:uid="{00000000-0005-0000-0000-0000E60A0000}"/>
    <cellStyle name="f 4" xfId="2809" xr:uid="{00000000-0005-0000-0000-0000E70A0000}"/>
    <cellStyle name="f 4 2" xfId="2810" xr:uid="{00000000-0005-0000-0000-0000E80A0000}"/>
    <cellStyle name="f 5" xfId="2811" xr:uid="{00000000-0005-0000-0000-0000E90A0000}"/>
    <cellStyle name="f 5 2" xfId="2812" xr:uid="{00000000-0005-0000-0000-0000EA0A0000}"/>
    <cellStyle name="f 6" xfId="2813" xr:uid="{00000000-0005-0000-0000-0000EB0A0000}"/>
    <cellStyle name="f 6 2" xfId="2814" xr:uid="{00000000-0005-0000-0000-0000EC0A0000}"/>
    <cellStyle name="f 7" xfId="2815" xr:uid="{00000000-0005-0000-0000-0000ED0A0000}"/>
    <cellStyle name="f 7 2" xfId="2816" xr:uid="{00000000-0005-0000-0000-0000EE0A0000}"/>
    <cellStyle name="f 8" xfId="2817" xr:uid="{00000000-0005-0000-0000-0000EF0A0000}"/>
    <cellStyle name="f 8 2" xfId="2818" xr:uid="{00000000-0005-0000-0000-0000F00A0000}"/>
    <cellStyle name="F2" xfId="2819" xr:uid="{00000000-0005-0000-0000-0000F10A0000}"/>
    <cellStyle name="F3" xfId="2820" xr:uid="{00000000-0005-0000-0000-0000F20A0000}"/>
    <cellStyle name="F4" xfId="2821" xr:uid="{00000000-0005-0000-0000-0000F30A0000}"/>
    <cellStyle name="F5" xfId="2822" xr:uid="{00000000-0005-0000-0000-0000F40A0000}"/>
    <cellStyle name="F6" xfId="2823" xr:uid="{00000000-0005-0000-0000-0000F50A0000}"/>
    <cellStyle name="F7" xfId="2824" xr:uid="{00000000-0005-0000-0000-0000F60A0000}"/>
    <cellStyle name="F8" xfId="2825" xr:uid="{00000000-0005-0000-0000-0000F70A0000}"/>
    <cellStyle name="FakePercent(0)" xfId="2826" xr:uid="{00000000-0005-0000-0000-0000F80A0000}"/>
    <cellStyle name="FakePercent(1)" xfId="2827" xr:uid="{00000000-0005-0000-0000-0000F90A0000}"/>
    <cellStyle name="FakePercent(2)" xfId="2828" xr:uid="{00000000-0005-0000-0000-0000FA0A0000}"/>
    <cellStyle name="Fijo" xfId="2829" xr:uid="{00000000-0005-0000-0000-0000FB0A0000}"/>
    <cellStyle name="Financiero" xfId="2830" xr:uid="{00000000-0005-0000-0000-0000FC0A0000}"/>
    <cellStyle name="first line" xfId="2831" xr:uid="{00000000-0005-0000-0000-0000FD0A0000}"/>
    <cellStyle name="FirstNumbers" xfId="2832" xr:uid="{00000000-0005-0000-0000-0000FE0A0000}"/>
    <cellStyle name="FirstNumbers 2" xfId="2833" xr:uid="{00000000-0005-0000-0000-0000FF0A0000}"/>
    <cellStyle name="FirstNumbers 3" xfId="2834" xr:uid="{00000000-0005-0000-0000-0000000B0000}"/>
    <cellStyle name="Fixed" xfId="2835" xr:uid="{00000000-0005-0000-0000-0000010B0000}"/>
    <cellStyle name="Fixed (1)" xfId="2836" xr:uid="{00000000-0005-0000-0000-0000020B0000}"/>
    <cellStyle name="Fixed [0]" xfId="2837" xr:uid="{00000000-0005-0000-0000-0000030B0000}"/>
    <cellStyle name="Fixed [2]" xfId="2838" xr:uid="{00000000-0005-0000-0000-0000040B0000}"/>
    <cellStyle name="Fixed_1" xfId="2839" xr:uid="{00000000-0005-0000-0000-0000050B0000}"/>
    <cellStyle name="Fixed2 - Style2" xfId="2840" xr:uid="{00000000-0005-0000-0000-0000060B0000}"/>
    <cellStyle name="Följde hyperlänken_COLLECTIONS REVIEW0603" xfId="2841" xr:uid="{00000000-0005-0000-0000-0000070B0000}"/>
    <cellStyle name="Footnote" xfId="2842" xr:uid="{00000000-0005-0000-0000-0000080B0000}"/>
    <cellStyle name="Footnotes" xfId="2843" xr:uid="{00000000-0005-0000-0000-0000090B0000}"/>
    <cellStyle name="form" xfId="2844" xr:uid="{00000000-0005-0000-0000-00000A0B0000}"/>
    <cellStyle name="Formulas" xfId="2845" xr:uid="{00000000-0005-0000-0000-00000B0B0000}"/>
    <cellStyle name="Formulas 2" xfId="2846" xr:uid="{00000000-0005-0000-0000-00000C0B0000}"/>
    <cellStyle name="fpc - Style6" xfId="2847" xr:uid="{00000000-0005-0000-0000-00000D0B0000}"/>
    <cellStyle name="FX Rate" xfId="2848" xr:uid="{00000000-0005-0000-0000-00000E0B0000}"/>
    <cellStyle name="FX Rate 2" xfId="2849" xr:uid="{00000000-0005-0000-0000-00000F0B0000}"/>
    <cellStyle name="FX Rate 3" xfId="2850" xr:uid="{00000000-0005-0000-0000-0000100B0000}"/>
    <cellStyle name="General" xfId="2851" xr:uid="{00000000-0005-0000-0000-0000110B0000}"/>
    <cellStyle name="General0" xfId="2852" xr:uid="{00000000-0005-0000-0000-0000120B0000}"/>
    <cellStyle name="General0C" xfId="2853" xr:uid="{00000000-0005-0000-0000-0000130B0000}"/>
    <cellStyle name="General0R" xfId="2854" xr:uid="{00000000-0005-0000-0000-0000140B0000}"/>
    <cellStyle name="General2" xfId="2855" xr:uid="{00000000-0005-0000-0000-0000150B0000}"/>
    <cellStyle name="General3" xfId="2856" xr:uid="{00000000-0005-0000-0000-0000160B0000}"/>
    <cellStyle name="GeneralNumber" xfId="2857" xr:uid="{00000000-0005-0000-0000-0000170B0000}"/>
    <cellStyle name="GeneralNumber 2" xfId="2858" xr:uid="{00000000-0005-0000-0000-0000180B0000}"/>
    <cellStyle name="gill" xfId="2859" xr:uid="{00000000-0005-0000-0000-0000190B0000}"/>
    <cellStyle name="gill 2" xfId="2860" xr:uid="{00000000-0005-0000-0000-00001A0B0000}"/>
    <cellStyle name="Global" xfId="2861" xr:uid="{00000000-0005-0000-0000-00001B0B0000}"/>
    <cellStyle name="Global 2" xfId="2862" xr:uid="{00000000-0005-0000-0000-00001C0B0000}"/>
    <cellStyle name="Global 2 2" xfId="2863" xr:uid="{00000000-0005-0000-0000-00001D0B0000}"/>
    <cellStyle name="Global 2 2 2" xfId="2864" xr:uid="{00000000-0005-0000-0000-00001E0B0000}"/>
    <cellStyle name="Global 2 3" xfId="2865" xr:uid="{00000000-0005-0000-0000-00001F0B0000}"/>
    <cellStyle name="Global 3" xfId="2866" xr:uid="{00000000-0005-0000-0000-0000200B0000}"/>
    <cellStyle name="Global 3 2" xfId="2867" xr:uid="{00000000-0005-0000-0000-0000210B0000}"/>
    <cellStyle name="Global 3 2 2" xfId="2868" xr:uid="{00000000-0005-0000-0000-0000220B0000}"/>
    <cellStyle name="Global 3 3" xfId="2869" xr:uid="{00000000-0005-0000-0000-0000230B0000}"/>
    <cellStyle name="Global 4" xfId="2870" xr:uid="{00000000-0005-0000-0000-0000240B0000}"/>
    <cellStyle name="Global 4 2" xfId="2871" xr:uid="{00000000-0005-0000-0000-0000250B0000}"/>
    <cellStyle name="Global 5" xfId="2872" xr:uid="{00000000-0005-0000-0000-0000260B0000}"/>
    <cellStyle name="Global 6" xfId="2873" xr:uid="{00000000-0005-0000-0000-0000270B0000}"/>
    <cellStyle name="Global 7" xfId="2874" xr:uid="{00000000-0005-0000-0000-0000280B0000}"/>
    <cellStyle name="Good" xfId="11" builtinId="26" customBuiltin="1"/>
    <cellStyle name="Gray bold italic" xfId="2875" xr:uid="{00000000-0005-0000-0000-00002A0B0000}"/>
    <cellStyle name="Gray bold italic 2" xfId="2876" xr:uid="{00000000-0005-0000-0000-00002B0B0000}"/>
    <cellStyle name="Gray bold italic 3" xfId="2877" xr:uid="{00000000-0005-0000-0000-00002C0B0000}"/>
    <cellStyle name="Green Bold" xfId="2878" xr:uid="{00000000-0005-0000-0000-00002D0B0000}"/>
    <cellStyle name="Grey" xfId="2879" xr:uid="{00000000-0005-0000-0000-00002E0B0000}"/>
    <cellStyle name="GreyControl" xfId="2880" xr:uid="{00000000-0005-0000-0000-00002F0B0000}"/>
    <cellStyle name="greyinput" xfId="2881" xr:uid="{00000000-0005-0000-0000-0000300B0000}"/>
    <cellStyle name="greyinput 2" xfId="2882" xr:uid="{00000000-0005-0000-0000-0000310B0000}"/>
    <cellStyle name="greyinput 3" xfId="2883" xr:uid="{00000000-0005-0000-0000-0000320B0000}"/>
    <cellStyle name="greyinput 4" xfId="2884" xr:uid="{00000000-0005-0000-0000-0000330B0000}"/>
    <cellStyle name="greyinput 5" xfId="2885" xr:uid="{00000000-0005-0000-0000-0000340B0000}"/>
    <cellStyle name="Group-T" xfId="2886" xr:uid="{00000000-0005-0000-0000-0000350B0000}"/>
    <cellStyle name="GrowthRate" xfId="2887" xr:uid="{00000000-0005-0000-0000-0000360B0000}"/>
    <cellStyle name="Hard numbers" xfId="2888" xr:uid="{00000000-0005-0000-0000-0000370B0000}"/>
    <cellStyle name="Hard numbers 2" xfId="2889" xr:uid="{00000000-0005-0000-0000-0000380B0000}"/>
    <cellStyle name="Hard numbers 3" xfId="2890" xr:uid="{00000000-0005-0000-0000-0000390B0000}"/>
    <cellStyle name="Hard numbers 4" xfId="2891" xr:uid="{00000000-0005-0000-0000-00003A0B0000}"/>
    <cellStyle name="Hard numbers 5" xfId="2892" xr:uid="{00000000-0005-0000-0000-00003B0B0000}"/>
    <cellStyle name="Hard Percent" xfId="2893" xr:uid="{00000000-0005-0000-0000-00003C0B0000}"/>
    <cellStyle name="Hardcoded" xfId="2894" xr:uid="{00000000-0005-0000-0000-00003D0B0000}"/>
    <cellStyle name="Head - Style7" xfId="2895" xr:uid="{00000000-0005-0000-0000-00003E0B0000}"/>
    <cellStyle name="Head1" xfId="2896" xr:uid="{00000000-0005-0000-0000-00003F0B0000}"/>
    <cellStyle name="HEADER" xfId="2897" xr:uid="{00000000-0005-0000-0000-0000400B0000}"/>
    <cellStyle name="Header1" xfId="2898" xr:uid="{00000000-0005-0000-0000-0000410B0000}"/>
    <cellStyle name="Header2" xfId="2899" xr:uid="{00000000-0005-0000-0000-0000420B0000}"/>
    <cellStyle name="Header2 2" xfId="2900" xr:uid="{00000000-0005-0000-0000-0000430B0000}"/>
    <cellStyle name="Header2 3" xfId="2901" xr:uid="{00000000-0005-0000-0000-0000440B0000}"/>
    <cellStyle name="headers" xfId="2902" xr:uid="{00000000-0005-0000-0000-0000450B0000}"/>
    <cellStyle name="Heading" xfId="2903" xr:uid="{00000000-0005-0000-0000-0000460B0000}"/>
    <cellStyle name="Heading 1" xfId="7" builtinId="16" customBuiltin="1"/>
    <cellStyle name="Heading 2" xfId="8" builtinId="17" customBuiltin="1"/>
    <cellStyle name="Heading 3" xfId="9" builtinId="18" customBuiltin="1"/>
    <cellStyle name="Heading 4" xfId="10" builtinId="19" customBuiltin="1"/>
    <cellStyle name="Heading No Underline" xfId="2904" xr:uid="{00000000-0005-0000-0000-00004B0B0000}"/>
    <cellStyle name="Heading With Underline" xfId="2905" xr:uid="{00000000-0005-0000-0000-00004C0B0000}"/>
    <cellStyle name="Heading With Underline 2" xfId="2906" xr:uid="{00000000-0005-0000-0000-00004D0B0000}"/>
    <cellStyle name="Heading With Underline 2 2" xfId="2907" xr:uid="{00000000-0005-0000-0000-00004E0B0000}"/>
    <cellStyle name="Heading With Underline 2 2 2" xfId="2908" xr:uid="{00000000-0005-0000-0000-00004F0B0000}"/>
    <cellStyle name="Heading With Underline 2 3" xfId="2909" xr:uid="{00000000-0005-0000-0000-0000500B0000}"/>
    <cellStyle name="Heading With Underline 2 3 2" xfId="2910" xr:uid="{00000000-0005-0000-0000-0000510B0000}"/>
    <cellStyle name="Heading With Underline 2 4" xfId="2911" xr:uid="{00000000-0005-0000-0000-0000520B0000}"/>
    <cellStyle name="Heading With Underline 3" xfId="2912" xr:uid="{00000000-0005-0000-0000-0000530B0000}"/>
    <cellStyle name="Heading With Underline 3 2" xfId="2913" xr:uid="{00000000-0005-0000-0000-0000540B0000}"/>
    <cellStyle name="Heading With Underline 3 2 2" xfId="2914" xr:uid="{00000000-0005-0000-0000-0000550B0000}"/>
    <cellStyle name="Heading With Underline 3 3" xfId="2915" xr:uid="{00000000-0005-0000-0000-0000560B0000}"/>
    <cellStyle name="Heading With Underline 3 3 2" xfId="2916" xr:uid="{00000000-0005-0000-0000-0000570B0000}"/>
    <cellStyle name="Heading With Underline 3 4" xfId="2917" xr:uid="{00000000-0005-0000-0000-0000580B0000}"/>
    <cellStyle name="Heading With Underline 4" xfId="2918" xr:uid="{00000000-0005-0000-0000-0000590B0000}"/>
    <cellStyle name="Heading With Underline 4 2" xfId="2919" xr:uid="{00000000-0005-0000-0000-00005A0B0000}"/>
    <cellStyle name="Heading With Underline 5" xfId="2920" xr:uid="{00000000-0005-0000-0000-00005B0B0000}"/>
    <cellStyle name="Heading With Underline 5 2" xfId="2921" xr:uid="{00000000-0005-0000-0000-00005C0B0000}"/>
    <cellStyle name="Heading With Underline 6" xfId="2922" xr:uid="{00000000-0005-0000-0000-00005D0B0000}"/>
    <cellStyle name="Heading With Underline 6 2" xfId="2923" xr:uid="{00000000-0005-0000-0000-00005E0B0000}"/>
    <cellStyle name="Heading With Underline 7" xfId="2924" xr:uid="{00000000-0005-0000-0000-00005F0B0000}"/>
    <cellStyle name="Heading With Underline 7 2" xfId="2925" xr:uid="{00000000-0005-0000-0000-0000600B0000}"/>
    <cellStyle name="Heading With Underline 8" xfId="2926" xr:uid="{00000000-0005-0000-0000-0000610B0000}"/>
    <cellStyle name="Heading With Underline 8 2" xfId="2927" xr:uid="{00000000-0005-0000-0000-0000620B0000}"/>
    <cellStyle name="Heading1" xfId="2928" xr:uid="{00000000-0005-0000-0000-0000630B0000}"/>
    <cellStyle name="Heading2" xfId="2929" xr:uid="{00000000-0005-0000-0000-0000640B0000}"/>
    <cellStyle name="Heading3" xfId="2930" xr:uid="{00000000-0005-0000-0000-0000650B0000}"/>
    <cellStyle name="Heading4" xfId="2931" xr:uid="{00000000-0005-0000-0000-0000660B0000}"/>
    <cellStyle name="Heading4 2" xfId="2932" xr:uid="{00000000-0005-0000-0000-0000670B0000}"/>
    <cellStyle name="Heading4 2 2" xfId="2933" xr:uid="{00000000-0005-0000-0000-0000680B0000}"/>
    <cellStyle name="Heading4 3" xfId="2934" xr:uid="{00000000-0005-0000-0000-0000690B0000}"/>
    <cellStyle name="Heading4 3 2" xfId="2935" xr:uid="{00000000-0005-0000-0000-00006A0B0000}"/>
    <cellStyle name="Heading4 4" xfId="2936" xr:uid="{00000000-0005-0000-0000-00006B0B0000}"/>
    <cellStyle name="HeadingMonth" xfId="2937" xr:uid="{00000000-0005-0000-0000-00006C0B0000}"/>
    <cellStyle name="HeadingR" xfId="2938" xr:uid="{00000000-0005-0000-0000-00006D0B0000}"/>
    <cellStyle name="HeadingR 2" xfId="2939" xr:uid="{00000000-0005-0000-0000-00006E0B0000}"/>
    <cellStyle name="HeadingR 2 2" xfId="2940" xr:uid="{00000000-0005-0000-0000-00006F0B0000}"/>
    <cellStyle name="HeadingR 2 2 2" xfId="2941" xr:uid="{00000000-0005-0000-0000-0000700B0000}"/>
    <cellStyle name="HeadingR 2 3" xfId="2942" xr:uid="{00000000-0005-0000-0000-0000710B0000}"/>
    <cellStyle name="HeadingR 2 3 2" xfId="2943" xr:uid="{00000000-0005-0000-0000-0000720B0000}"/>
    <cellStyle name="HeadingR 2 4" xfId="2944" xr:uid="{00000000-0005-0000-0000-0000730B0000}"/>
    <cellStyle name="HeadingR 3" xfId="2945" xr:uid="{00000000-0005-0000-0000-0000740B0000}"/>
    <cellStyle name="HeadingR 3 2" xfId="2946" xr:uid="{00000000-0005-0000-0000-0000750B0000}"/>
    <cellStyle name="HeadingR 3 2 2" xfId="2947" xr:uid="{00000000-0005-0000-0000-0000760B0000}"/>
    <cellStyle name="HeadingR 3 3" xfId="2948" xr:uid="{00000000-0005-0000-0000-0000770B0000}"/>
    <cellStyle name="HeadingR 3 3 2" xfId="2949" xr:uid="{00000000-0005-0000-0000-0000780B0000}"/>
    <cellStyle name="HeadingR 3 4" xfId="2950" xr:uid="{00000000-0005-0000-0000-0000790B0000}"/>
    <cellStyle name="HeadingR 4" xfId="2951" xr:uid="{00000000-0005-0000-0000-00007A0B0000}"/>
    <cellStyle name="HeadingR 4 2" xfId="2952" xr:uid="{00000000-0005-0000-0000-00007B0B0000}"/>
    <cellStyle name="HeadingR 4 2 2" xfId="2953" xr:uid="{00000000-0005-0000-0000-00007C0B0000}"/>
    <cellStyle name="HeadingR 4 3" xfId="2954" xr:uid="{00000000-0005-0000-0000-00007D0B0000}"/>
    <cellStyle name="HeadingR 4 3 2" xfId="2955" xr:uid="{00000000-0005-0000-0000-00007E0B0000}"/>
    <cellStyle name="HeadingR 4 4" xfId="2956" xr:uid="{00000000-0005-0000-0000-00007F0B0000}"/>
    <cellStyle name="HeadingR 5" xfId="2957" xr:uid="{00000000-0005-0000-0000-0000800B0000}"/>
    <cellStyle name="HeadingR 5 2" xfId="2958" xr:uid="{00000000-0005-0000-0000-0000810B0000}"/>
    <cellStyle name="HeadingR 6" xfId="2959" xr:uid="{00000000-0005-0000-0000-0000820B0000}"/>
    <cellStyle name="HeadingR 6 2" xfId="2960" xr:uid="{00000000-0005-0000-0000-0000830B0000}"/>
    <cellStyle name="HeadingR 7" xfId="2961" xr:uid="{00000000-0005-0000-0000-0000840B0000}"/>
    <cellStyle name="HeadingR 8" xfId="2962" xr:uid="{00000000-0005-0000-0000-0000850B0000}"/>
    <cellStyle name="HEADINGS" xfId="2963" xr:uid="{00000000-0005-0000-0000-0000860B0000}"/>
    <cellStyle name="HEADINGSTOP" xfId="2964" xr:uid="{00000000-0005-0000-0000-0000870B0000}"/>
    <cellStyle name="helvetica" xfId="2965" xr:uid="{00000000-0005-0000-0000-0000880B0000}"/>
    <cellStyle name="Hidden" xfId="2966" xr:uid="{00000000-0005-0000-0000-0000890B0000}"/>
    <cellStyle name="HIGHLIGHT" xfId="2967" xr:uid="{00000000-0005-0000-0000-00008A0B0000}"/>
    <cellStyle name="HotLink" xfId="2968" xr:uid="{00000000-0005-0000-0000-00008B0B0000}"/>
    <cellStyle name="hotlinks" xfId="2969" xr:uid="{00000000-0005-0000-0000-00008C0B0000}"/>
    <cellStyle name="Hyperlänk_COLLECTIONS REVIEW0603" xfId="2970" xr:uid="{00000000-0005-0000-0000-00008D0B0000}"/>
    <cellStyle name="Hyperlink 2" xfId="46" xr:uid="{00000000-0005-0000-0000-00008E0B0000}"/>
    <cellStyle name="IDD" xfId="2971" xr:uid="{00000000-0005-0000-0000-00008F0B0000}"/>
    <cellStyle name="IncomeStatement" xfId="2972" xr:uid="{00000000-0005-0000-0000-0000900B0000}"/>
    <cellStyle name="IncStmt" xfId="2973" xr:uid="{00000000-0005-0000-0000-0000910B0000}"/>
    <cellStyle name="IncStmt 2" xfId="2974" xr:uid="{00000000-0005-0000-0000-0000920B0000}"/>
    <cellStyle name="IncStmt 3" xfId="2975" xr:uid="{00000000-0005-0000-0000-0000930B0000}"/>
    <cellStyle name="InpComma0" xfId="2976" xr:uid="{00000000-0005-0000-0000-0000940B0000}"/>
    <cellStyle name="InpComma1" xfId="2977" xr:uid="{00000000-0005-0000-0000-0000950B0000}"/>
    <cellStyle name="InpComma2" xfId="2978" xr:uid="{00000000-0005-0000-0000-0000960B0000}"/>
    <cellStyle name="InpComma3" xfId="2979" xr:uid="{00000000-0005-0000-0000-0000970B0000}"/>
    <cellStyle name="InpComma4" xfId="2980" xr:uid="{00000000-0005-0000-0000-0000980B0000}"/>
    <cellStyle name="InpCurr0" xfId="2981" xr:uid="{00000000-0005-0000-0000-0000990B0000}"/>
    <cellStyle name="InpCurr1" xfId="2982" xr:uid="{00000000-0005-0000-0000-00009A0B0000}"/>
    <cellStyle name="InpCurr2" xfId="2983" xr:uid="{00000000-0005-0000-0000-00009B0B0000}"/>
    <cellStyle name="InpCurr3" xfId="2984" xr:uid="{00000000-0005-0000-0000-00009C0B0000}"/>
    <cellStyle name="InpCurr4" xfId="2985" xr:uid="{00000000-0005-0000-0000-00009D0B0000}"/>
    <cellStyle name="InpDate" xfId="2986" xr:uid="{00000000-0005-0000-0000-00009E0B0000}"/>
    <cellStyle name="InpPercent0" xfId="2987" xr:uid="{00000000-0005-0000-0000-00009F0B0000}"/>
    <cellStyle name="InpPercent1" xfId="2988" xr:uid="{00000000-0005-0000-0000-0000A00B0000}"/>
    <cellStyle name="InpPercent2" xfId="2989" xr:uid="{00000000-0005-0000-0000-0000A10B0000}"/>
    <cellStyle name="InpText" xfId="2990" xr:uid="{00000000-0005-0000-0000-0000A20B0000}"/>
    <cellStyle name="InpText 2" xfId="2991" xr:uid="{00000000-0005-0000-0000-0000A30B0000}"/>
    <cellStyle name="InpText 3" xfId="2992" xr:uid="{00000000-0005-0000-0000-0000A40B0000}"/>
    <cellStyle name="InpText 4" xfId="2993" xr:uid="{00000000-0005-0000-0000-0000A50B0000}"/>
    <cellStyle name="InpText 5" xfId="2994" xr:uid="{00000000-0005-0000-0000-0000A60B0000}"/>
    <cellStyle name="InpText 6" xfId="2995" xr:uid="{00000000-0005-0000-0000-0000A70B0000}"/>
    <cellStyle name="Input" xfId="14" builtinId="20" customBuiltin="1"/>
    <cellStyle name="Input [yellow]" xfId="2996" xr:uid="{00000000-0005-0000-0000-0000A90B0000}"/>
    <cellStyle name="Input [yellow] 2" xfId="2997" xr:uid="{00000000-0005-0000-0000-0000AA0B0000}"/>
    <cellStyle name="Input [yellow] 3" xfId="2998" xr:uid="{00000000-0005-0000-0000-0000AB0B0000}"/>
    <cellStyle name="Input [yellow] 4" xfId="2999" xr:uid="{00000000-0005-0000-0000-0000AC0B0000}"/>
    <cellStyle name="Input [yellow] 5" xfId="3000" xr:uid="{00000000-0005-0000-0000-0000AD0B0000}"/>
    <cellStyle name="Input 2" xfId="3001" xr:uid="{00000000-0005-0000-0000-0000AE0B0000}"/>
    <cellStyle name="Input 2 2" xfId="3002" xr:uid="{00000000-0005-0000-0000-0000AF0B0000}"/>
    <cellStyle name="Input 2 3" xfId="3003" xr:uid="{00000000-0005-0000-0000-0000B00B0000}"/>
    <cellStyle name="Input 2 4" xfId="3004" xr:uid="{00000000-0005-0000-0000-0000B10B0000}"/>
    <cellStyle name="Input 2 5" xfId="3005" xr:uid="{00000000-0005-0000-0000-0000B20B0000}"/>
    <cellStyle name="Input 3" xfId="3006" xr:uid="{00000000-0005-0000-0000-0000B30B0000}"/>
    <cellStyle name="Input 3 2" xfId="3007" xr:uid="{00000000-0005-0000-0000-0000B40B0000}"/>
    <cellStyle name="Input 3 3" xfId="3008" xr:uid="{00000000-0005-0000-0000-0000B50B0000}"/>
    <cellStyle name="Input 3 4" xfId="3009" xr:uid="{00000000-0005-0000-0000-0000B60B0000}"/>
    <cellStyle name="Input 3 5" xfId="3010" xr:uid="{00000000-0005-0000-0000-0000B70B0000}"/>
    <cellStyle name="Input 4" xfId="3011" xr:uid="{00000000-0005-0000-0000-0000B80B0000}"/>
    <cellStyle name="Input 4 2" xfId="3012" xr:uid="{00000000-0005-0000-0000-0000B90B0000}"/>
    <cellStyle name="Input 4 3" xfId="3013" xr:uid="{00000000-0005-0000-0000-0000BA0B0000}"/>
    <cellStyle name="Input 4 4" xfId="3014" xr:uid="{00000000-0005-0000-0000-0000BB0B0000}"/>
    <cellStyle name="Input 4 5" xfId="3015" xr:uid="{00000000-0005-0000-0000-0000BC0B0000}"/>
    <cellStyle name="Input 5" xfId="3016" xr:uid="{00000000-0005-0000-0000-0000BD0B0000}"/>
    <cellStyle name="Input 5 2" xfId="3017" xr:uid="{00000000-0005-0000-0000-0000BE0B0000}"/>
    <cellStyle name="Input 5 3" xfId="3018" xr:uid="{00000000-0005-0000-0000-0000BF0B0000}"/>
    <cellStyle name="Input 5 4" xfId="3019" xr:uid="{00000000-0005-0000-0000-0000C00B0000}"/>
    <cellStyle name="Input 5 5" xfId="3020" xr:uid="{00000000-0005-0000-0000-0000C10B0000}"/>
    <cellStyle name="Input 6" xfId="3021" xr:uid="{00000000-0005-0000-0000-0000C20B0000}"/>
    <cellStyle name="Input 6 2" xfId="3022" xr:uid="{00000000-0005-0000-0000-0000C30B0000}"/>
    <cellStyle name="Input 6 3" xfId="3023" xr:uid="{00000000-0005-0000-0000-0000C40B0000}"/>
    <cellStyle name="Input 6 4" xfId="3024" xr:uid="{00000000-0005-0000-0000-0000C50B0000}"/>
    <cellStyle name="Input 6 5" xfId="3025" xr:uid="{00000000-0005-0000-0000-0000C60B0000}"/>
    <cellStyle name="Input 7" xfId="3026" xr:uid="{00000000-0005-0000-0000-0000C70B0000}"/>
    <cellStyle name="Input 7 2" xfId="3027" xr:uid="{00000000-0005-0000-0000-0000C80B0000}"/>
    <cellStyle name="Input 7 3" xfId="3028" xr:uid="{00000000-0005-0000-0000-0000C90B0000}"/>
    <cellStyle name="Input 7 4" xfId="3029" xr:uid="{00000000-0005-0000-0000-0000CA0B0000}"/>
    <cellStyle name="Input 7 5" xfId="3030" xr:uid="{00000000-0005-0000-0000-0000CB0B0000}"/>
    <cellStyle name="Input 8" xfId="3031" xr:uid="{00000000-0005-0000-0000-0000CC0B0000}"/>
    <cellStyle name="Input 8 2" xfId="3032" xr:uid="{00000000-0005-0000-0000-0000CD0B0000}"/>
    <cellStyle name="Input 8 3" xfId="3033" xr:uid="{00000000-0005-0000-0000-0000CE0B0000}"/>
    <cellStyle name="Input 8 4" xfId="3034" xr:uid="{00000000-0005-0000-0000-0000CF0B0000}"/>
    <cellStyle name="Input 8 5" xfId="3035" xr:uid="{00000000-0005-0000-0000-0000D00B0000}"/>
    <cellStyle name="Input 9" xfId="3036" xr:uid="{00000000-0005-0000-0000-0000D10B0000}"/>
    <cellStyle name="Input 9 2" xfId="3037" xr:uid="{00000000-0005-0000-0000-0000D20B0000}"/>
    <cellStyle name="Input 9 3" xfId="3038" xr:uid="{00000000-0005-0000-0000-0000D30B0000}"/>
    <cellStyle name="Input 9 4" xfId="3039" xr:uid="{00000000-0005-0000-0000-0000D40B0000}"/>
    <cellStyle name="Input 9 5" xfId="3040" xr:uid="{00000000-0005-0000-0000-0000D50B0000}"/>
    <cellStyle name="Input Cells" xfId="3041" xr:uid="{00000000-0005-0000-0000-0000D60B0000}"/>
    <cellStyle name="Input comment text" xfId="3042" xr:uid="{00000000-0005-0000-0000-0000D70B0000}"/>
    <cellStyle name="Input Currency" xfId="3043" xr:uid="{00000000-0005-0000-0000-0000D80B0000}"/>
    <cellStyle name="Input date" xfId="3044" xr:uid="{00000000-0005-0000-0000-0000D90B0000}"/>
    <cellStyle name="Input Dollar" xfId="3045" xr:uid="{00000000-0005-0000-0000-0000DA0B0000}"/>
    <cellStyle name="Input Fixed [0]" xfId="3046" xr:uid="{00000000-0005-0000-0000-0000DB0B0000}"/>
    <cellStyle name="Input Float" xfId="3047" xr:uid="{00000000-0005-0000-0000-0000DC0B0000}"/>
    <cellStyle name="Input Normal" xfId="3048" xr:uid="{00000000-0005-0000-0000-0000DD0B0000}"/>
    <cellStyle name="Input Normal (0)" xfId="3049" xr:uid="{00000000-0005-0000-0000-0000DE0B0000}"/>
    <cellStyle name="Input Normal_~7945259" xfId="3050" xr:uid="{00000000-0005-0000-0000-0000DF0B0000}"/>
    <cellStyle name="Input Percent" xfId="3051" xr:uid="{00000000-0005-0000-0000-0000E00B0000}"/>
    <cellStyle name="Input Percent (1)" xfId="3052" xr:uid="{00000000-0005-0000-0000-0000E10B0000}"/>
    <cellStyle name="Input Percent [2]" xfId="3053" xr:uid="{00000000-0005-0000-0000-0000E20B0000}"/>
    <cellStyle name="Input Percent_Data" xfId="3054" xr:uid="{00000000-0005-0000-0000-0000E30B0000}"/>
    <cellStyle name="Input Titles" xfId="3055" xr:uid="{00000000-0005-0000-0000-0000E40B0000}"/>
    <cellStyle name="InputBlueFont_Valuation " xfId="3056" xr:uid="{00000000-0005-0000-0000-0000E50B0000}"/>
    <cellStyle name="InputCell" xfId="3057" xr:uid="{00000000-0005-0000-0000-0000E60B0000}"/>
    <cellStyle name="InputCell 2" xfId="3058" xr:uid="{00000000-0005-0000-0000-0000E70B0000}"/>
    <cellStyle name="InputCell 3" xfId="3059" xr:uid="{00000000-0005-0000-0000-0000E80B0000}"/>
    <cellStyle name="InputCell 4" xfId="3060" xr:uid="{00000000-0005-0000-0000-0000E90B0000}"/>
    <cellStyle name="InputCell 5" xfId="3061" xr:uid="{00000000-0005-0000-0000-0000EA0B0000}"/>
    <cellStyle name="InputCurrency" xfId="3062" xr:uid="{00000000-0005-0000-0000-0000EB0B0000}"/>
    <cellStyle name="InputCurrency2" xfId="3063" xr:uid="{00000000-0005-0000-0000-0000EC0B0000}"/>
    <cellStyle name="InputMultiple1" xfId="3064" xr:uid="{00000000-0005-0000-0000-0000ED0B0000}"/>
    <cellStyle name="InputPercent1" xfId="3065" xr:uid="{00000000-0005-0000-0000-0000EE0B0000}"/>
    <cellStyle name="Integer" xfId="3066" xr:uid="{00000000-0005-0000-0000-0000EF0B0000}"/>
    <cellStyle name="IS Summary" xfId="3067" xr:uid="{00000000-0005-0000-0000-0000F00B0000}"/>
    <cellStyle name="Italic" xfId="3068" xr:uid="{00000000-0005-0000-0000-0000F10B0000}"/>
    <cellStyle name="Item" xfId="3069" xr:uid="{00000000-0005-0000-0000-0000F20B0000}"/>
    <cellStyle name="ItemTypeClass" xfId="3070" xr:uid="{00000000-0005-0000-0000-0000F30B0000}"/>
    <cellStyle name="ItemTypeClass 2" xfId="3071" xr:uid="{00000000-0005-0000-0000-0000F40B0000}"/>
    <cellStyle name="ItemTypeClass 3" xfId="3072" xr:uid="{00000000-0005-0000-0000-0000F50B0000}"/>
    <cellStyle name="JPM" xfId="3073" xr:uid="{00000000-0005-0000-0000-0000F60B0000}"/>
    <cellStyle name="l" xfId="3074" xr:uid="{00000000-0005-0000-0000-0000F70B0000}"/>
    <cellStyle name="Label" xfId="3075" xr:uid="{00000000-0005-0000-0000-0000F80B0000}"/>
    <cellStyle name="Label 2" xfId="3076" xr:uid="{00000000-0005-0000-0000-0000F90B0000}"/>
    <cellStyle name="Label 3" xfId="3077" xr:uid="{00000000-0005-0000-0000-0000FA0B0000}"/>
    <cellStyle name="Label 4" xfId="3078" xr:uid="{00000000-0005-0000-0000-0000FB0B0000}"/>
    <cellStyle name="Label 5" xfId="3079" xr:uid="{00000000-0005-0000-0000-0000FC0B0000}"/>
    <cellStyle name="last line" xfId="3080" xr:uid="{00000000-0005-0000-0000-0000FD0B0000}"/>
    <cellStyle name="last line 2" xfId="3081" xr:uid="{00000000-0005-0000-0000-0000FE0B0000}"/>
    <cellStyle name="last line 3" xfId="3082" xr:uid="{00000000-0005-0000-0000-0000FF0B0000}"/>
    <cellStyle name="Lds1" xfId="3083" xr:uid="{00000000-0005-0000-0000-0000000C0000}"/>
    <cellStyle name="Left" xfId="3084" xr:uid="{00000000-0005-0000-0000-0000010C0000}"/>
    <cellStyle name="Lien hypertexte" xfId="3085" xr:uid="{00000000-0005-0000-0000-0000020C0000}"/>
    <cellStyle name="Lien hypertexte visité" xfId="3086" xr:uid="{00000000-0005-0000-0000-0000030C0000}"/>
    <cellStyle name="lightblue" xfId="3087" xr:uid="{00000000-0005-0000-0000-0000040C0000}"/>
    <cellStyle name="Line" xfId="3088" xr:uid="{00000000-0005-0000-0000-0000050C0000}"/>
    <cellStyle name="LineItem" xfId="3089" xr:uid="{00000000-0005-0000-0000-0000060C0000}"/>
    <cellStyle name="LineNum w/ Border" xfId="3090" xr:uid="{00000000-0005-0000-0000-0000070C0000}"/>
    <cellStyle name="LineNum w/ Border 2" xfId="3091" xr:uid="{00000000-0005-0000-0000-0000080C0000}"/>
    <cellStyle name="LineNum w/ Border 2 2" xfId="3092" xr:uid="{00000000-0005-0000-0000-0000090C0000}"/>
    <cellStyle name="LineNum w/ Border 2 2 2" xfId="3093" xr:uid="{00000000-0005-0000-0000-00000A0C0000}"/>
    <cellStyle name="LineNum w/ Border 2 2 2 2" xfId="3094" xr:uid="{00000000-0005-0000-0000-00000B0C0000}"/>
    <cellStyle name="LineNum w/ Border 2 2 3" xfId="3095" xr:uid="{00000000-0005-0000-0000-00000C0C0000}"/>
    <cellStyle name="LineNum w/ Border 2 2 3 2" xfId="3096" xr:uid="{00000000-0005-0000-0000-00000D0C0000}"/>
    <cellStyle name="LineNum w/ Border 2 2 4" xfId="3097" xr:uid="{00000000-0005-0000-0000-00000E0C0000}"/>
    <cellStyle name="LineNum w/ Border 2 3" xfId="3098" xr:uid="{00000000-0005-0000-0000-00000F0C0000}"/>
    <cellStyle name="LineNum w/ Border 2 3 2" xfId="3099" xr:uid="{00000000-0005-0000-0000-0000100C0000}"/>
    <cellStyle name="LineNum w/ Border 2 4" xfId="3100" xr:uid="{00000000-0005-0000-0000-0000110C0000}"/>
    <cellStyle name="LineNum w/ Border 2 4 2" xfId="3101" xr:uid="{00000000-0005-0000-0000-0000120C0000}"/>
    <cellStyle name="LineNum w/ Border 2 5" xfId="3102" xr:uid="{00000000-0005-0000-0000-0000130C0000}"/>
    <cellStyle name="LineNum w/ Border 2 5 2" xfId="3103" xr:uid="{00000000-0005-0000-0000-0000140C0000}"/>
    <cellStyle name="LineNum w/ Border 2 6" xfId="3104" xr:uid="{00000000-0005-0000-0000-0000150C0000}"/>
    <cellStyle name="LineNum w/ Border 2 6 2" xfId="3105" xr:uid="{00000000-0005-0000-0000-0000160C0000}"/>
    <cellStyle name="LineNum w/ Border 2 7" xfId="3106" xr:uid="{00000000-0005-0000-0000-0000170C0000}"/>
    <cellStyle name="LineNum w/ Border 2 7 2" xfId="3107" xr:uid="{00000000-0005-0000-0000-0000180C0000}"/>
    <cellStyle name="LineNum w/ Border 3" xfId="3108" xr:uid="{00000000-0005-0000-0000-0000190C0000}"/>
    <cellStyle name="LineNum w/ Border 3 2" xfId="3109" xr:uid="{00000000-0005-0000-0000-00001A0C0000}"/>
    <cellStyle name="LineNum w/ Border 3 2 2" xfId="3110" xr:uid="{00000000-0005-0000-0000-00001B0C0000}"/>
    <cellStyle name="LineNum w/ Border 3 2 2 2" xfId="3111" xr:uid="{00000000-0005-0000-0000-00001C0C0000}"/>
    <cellStyle name="LineNum w/ Border 3 2 3" xfId="3112" xr:uid="{00000000-0005-0000-0000-00001D0C0000}"/>
    <cellStyle name="LineNum w/ Border 3 2 3 2" xfId="3113" xr:uid="{00000000-0005-0000-0000-00001E0C0000}"/>
    <cellStyle name="LineNum w/ Border 3 2 4" xfId="3114" xr:uid="{00000000-0005-0000-0000-00001F0C0000}"/>
    <cellStyle name="LineNum w/ Border 3 3" xfId="3115" xr:uid="{00000000-0005-0000-0000-0000200C0000}"/>
    <cellStyle name="LineNum w/ Border 3 3 2" xfId="3116" xr:uid="{00000000-0005-0000-0000-0000210C0000}"/>
    <cellStyle name="LineNum w/ Border 3 4" xfId="3117" xr:uid="{00000000-0005-0000-0000-0000220C0000}"/>
    <cellStyle name="LineNum w/ Border 3 4 2" xfId="3118" xr:uid="{00000000-0005-0000-0000-0000230C0000}"/>
    <cellStyle name="LineNum w/ Border 3 5" xfId="3119" xr:uid="{00000000-0005-0000-0000-0000240C0000}"/>
    <cellStyle name="LineNum w/ Border 3 5 2" xfId="3120" xr:uid="{00000000-0005-0000-0000-0000250C0000}"/>
    <cellStyle name="LineNum w/ Border 3 6" xfId="3121" xr:uid="{00000000-0005-0000-0000-0000260C0000}"/>
    <cellStyle name="LineNum w/ Border 3 6 2" xfId="3122" xr:uid="{00000000-0005-0000-0000-0000270C0000}"/>
    <cellStyle name="LineNum w/ Border 3 7" xfId="3123" xr:uid="{00000000-0005-0000-0000-0000280C0000}"/>
    <cellStyle name="LineNum w/ Border 3 7 2" xfId="3124" xr:uid="{00000000-0005-0000-0000-0000290C0000}"/>
    <cellStyle name="LineNum w/ Border 4" xfId="3125" xr:uid="{00000000-0005-0000-0000-00002A0C0000}"/>
    <cellStyle name="LineNum w/ Border 4 2" xfId="3126" xr:uid="{00000000-0005-0000-0000-00002B0C0000}"/>
    <cellStyle name="LineNum w/ Border 4 2 2" xfId="3127" xr:uid="{00000000-0005-0000-0000-00002C0C0000}"/>
    <cellStyle name="LineNum w/ Border 4 3" xfId="3128" xr:uid="{00000000-0005-0000-0000-00002D0C0000}"/>
    <cellStyle name="LineNum w/ Border 4 3 2" xfId="3129" xr:uid="{00000000-0005-0000-0000-00002E0C0000}"/>
    <cellStyle name="LineNum w/ Border 4 4" xfId="3130" xr:uid="{00000000-0005-0000-0000-00002F0C0000}"/>
    <cellStyle name="LineNum w/ Border 5" xfId="3131" xr:uid="{00000000-0005-0000-0000-0000300C0000}"/>
    <cellStyle name="LineNum w/ Border 5 2" xfId="3132" xr:uid="{00000000-0005-0000-0000-0000310C0000}"/>
    <cellStyle name="LineNum w/ Border 6" xfId="3133" xr:uid="{00000000-0005-0000-0000-0000320C0000}"/>
    <cellStyle name="LineNum w/ Border 6 2" xfId="3134" xr:uid="{00000000-0005-0000-0000-0000330C0000}"/>
    <cellStyle name="LineNum w/ Border 7" xfId="3135" xr:uid="{00000000-0005-0000-0000-0000340C0000}"/>
    <cellStyle name="LineNum w/ Border 7 2" xfId="3136" xr:uid="{00000000-0005-0000-0000-0000350C0000}"/>
    <cellStyle name="LineNum w/ Border 8" xfId="3137" xr:uid="{00000000-0005-0000-0000-0000360C0000}"/>
    <cellStyle name="LineNum w/ Border 8 2" xfId="3138" xr:uid="{00000000-0005-0000-0000-0000370C0000}"/>
    <cellStyle name="LineNum w/ Border 9" xfId="3139" xr:uid="{00000000-0005-0000-0000-0000380C0000}"/>
    <cellStyle name="LineNum w/ Border 9 2" xfId="3140" xr:uid="{00000000-0005-0000-0000-0000390C0000}"/>
    <cellStyle name="LineNumbers" xfId="3141" xr:uid="{00000000-0005-0000-0000-00003A0C0000}"/>
    <cellStyle name="LineNumbersFirstColumn" xfId="3142" xr:uid="{00000000-0005-0000-0000-00003B0C0000}"/>
    <cellStyle name="Lines" xfId="3143" xr:uid="{00000000-0005-0000-0000-00003C0C0000}"/>
    <cellStyle name="Link Currency (0)" xfId="3144" xr:uid="{00000000-0005-0000-0000-00003D0C0000}"/>
    <cellStyle name="Link Currency (2)" xfId="3145" xr:uid="{00000000-0005-0000-0000-00003E0C0000}"/>
    <cellStyle name="Link Units (0)" xfId="3146" xr:uid="{00000000-0005-0000-0000-00003F0C0000}"/>
    <cellStyle name="Link Units (1)" xfId="3147" xr:uid="{00000000-0005-0000-0000-0000400C0000}"/>
    <cellStyle name="Link Units (2)" xfId="3148" xr:uid="{00000000-0005-0000-0000-0000410C0000}"/>
    <cellStyle name="Linked Cell" xfId="17" builtinId="24" customBuiltin="1"/>
    <cellStyle name="Linked Cells" xfId="3149" xr:uid="{00000000-0005-0000-0000-0000430C0000}"/>
    <cellStyle name="Linked-Sheet" xfId="3150" xr:uid="{00000000-0005-0000-0000-0000440C0000}"/>
    <cellStyle name="Linked-WB" xfId="3151" xr:uid="{00000000-0005-0000-0000-0000450C0000}"/>
    <cellStyle name="Locked" xfId="3152" xr:uid="{00000000-0005-0000-0000-0000460C0000}"/>
    <cellStyle name="m/d/yy" xfId="3153" xr:uid="{00000000-0005-0000-0000-0000470C0000}"/>
    <cellStyle name="m/d/yy 2" xfId="3154" xr:uid="{00000000-0005-0000-0000-0000480C0000}"/>
    <cellStyle name="m/d/yy 2 2" xfId="3155" xr:uid="{00000000-0005-0000-0000-0000490C0000}"/>
    <cellStyle name="m/d/yy 2 2 2" xfId="3156" xr:uid="{00000000-0005-0000-0000-00004A0C0000}"/>
    <cellStyle name="m/d/yy 2 3" xfId="3157" xr:uid="{00000000-0005-0000-0000-00004B0C0000}"/>
    <cellStyle name="m/d/yy 2 3 2" xfId="3158" xr:uid="{00000000-0005-0000-0000-00004C0C0000}"/>
    <cellStyle name="m/d/yy 2 4" xfId="3159" xr:uid="{00000000-0005-0000-0000-00004D0C0000}"/>
    <cellStyle name="m/d/yy 3" xfId="3160" xr:uid="{00000000-0005-0000-0000-00004E0C0000}"/>
    <cellStyle name="m/d/yy 3 2" xfId="3161" xr:uid="{00000000-0005-0000-0000-00004F0C0000}"/>
    <cellStyle name="m/d/yy 4" xfId="3162" xr:uid="{00000000-0005-0000-0000-0000500C0000}"/>
    <cellStyle name="m/d/yy 4 2" xfId="3163" xr:uid="{00000000-0005-0000-0000-0000510C0000}"/>
    <cellStyle name="m/d/yy 5" xfId="3164" xr:uid="{00000000-0005-0000-0000-0000520C0000}"/>
    <cellStyle name="m/d/yy 5 2" xfId="3165" xr:uid="{00000000-0005-0000-0000-0000530C0000}"/>
    <cellStyle name="m/d/yy 6" xfId="3166" xr:uid="{00000000-0005-0000-0000-0000540C0000}"/>
    <cellStyle name="m/d/yy 6 2" xfId="3167" xr:uid="{00000000-0005-0000-0000-0000550C0000}"/>
    <cellStyle name="m/d/yy 7" xfId="3168" xr:uid="{00000000-0005-0000-0000-0000560C0000}"/>
    <cellStyle name="m/d/yy 7 2" xfId="3169" xr:uid="{00000000-0005-0000-0000-0000570C0000}"/>
    <cellStyle name="MacroComment" xfId="3170" xr:uid="{00000000-0005-0000-0000-0000580C0000}"/>
    <cellStyle name="MacroHeading" xfId="3171" xr:uid="{00000000-0005-0000-0000-0000590C0000}"/>
    <cellStyle name="Magic" xfId="3172" xr:uid="{00000000-0005-0000-0000-00005A0C0000}"/>
    <cellStyle name="Magic 2" xfId="3173" xr:uid="{00000000-0005-0000-0000-00005B0C0000}"/>
    <cellStyle name="Magic 2 2" xfId="3174" xr:uid="{00000000-0005-0000-0000-00005C0C0000}"/>
    <cellStyle name="Magic 2 2 2" xfId="3175" xr:uid="{00000000-0005-0000-0000-00005D0C0000}"/>
    <cellStyle name="Magic 2 3" xfId="3176" xr:uid="{00000000-0005-0000-0000-00005E0C0000}"/>
    <cellStyle name="Magic 2 3 2" xfId="3177" xr:uid="{00000000-0005-0000-0000-00005F0C0000}"/>
    <cellStyle name="Magic 2 4" xfId="3178" xr:uid="{00000000-0005-0000-0000-0000600C0000}"/>
    <cellStyle name="Magic 3" xfId="3179" xr:uid="{00000000-0005-0000-0000-0000610C0000}"/>
    <cellStyle name="Magic 3 2" xfId="3180" xr:uid="{00000000-0005-0000-0000-0000620C0000}"/>
    <cellStyle name="Magic 4" xfId="3181" xr:uid="{00000000-0005-0000-0000-0000630C0000}"/>
    <cellStyle name="Magic 4 2" xfId="3182" xr:uid="{00000000-0005-0000-0000-0000640C0000}"/>
    <cellStyle name="Magic 5" xfId="3183" xr:uid="{00000000-0005-0000-0000-0000650C0000}"/>
    <cellStyle name="Magic 5 2" xfId="3184" xr:uid="{00000000-0005-0000-0000-0000660C0000}"/>
    <cellStyle name="Magic 6" xfId="3185" xr:uid="{00000000-0005-0000-0000-0000670C0000}"/>
    <cellStyle name="Magic 6 2" xfId="3186" xr:uid="{00000000-0005-0000-0000-0000680C0000}"/>
    <cellStyle name="Magic 7" xfId="3187" xr:uid="{00000000-0005-0000-0000-0000690C0000}"/>
    <cellStyle name="Magic 7 2" xfId="3188" xr:uid="{00000000-0005-0000-0000-00006A0C0000}"/>
    <cellStyle name="Margins" xfId="3189" xr:uid="{00000000-0005-0000-0000-00006B0C0000}"/>
    <cellStyle name="Middle" xfId="3190" xr:uid="{00000000-0005-0000-0000-00006C0C0000}"/>
    <cellStyle name="Mifrog" xfId="3191" xr:uid="{00000000-0005-0000-0000-00006D0C0000}"/>
    <cellStyle name="Mifrog 2" xfId="3192" xr:uid="{00000000-0005-0000-0000-00006E0C0000}"/>
    <cellStyle name="Mifrog 2 2" xfId="3193" xr:uid="{00000000-0005-0000-0000-00006F0C0000}"/>
    <cellStyle name="Mifrog 2 2 2" xfId="3194" xr:uid="{00000000-0005-0000-0000-0000700C0000}"/>
    <cellStyle name="Mifrog 2 3" xfId="3195" xr:uid="{00000000-0005-0000-0000-0000710C0000}"/>
    <cellStyle name="Mifrog 2 3 2" xfId="3196" xr:uid="{00000000-0005-0000-0000-0000720C0000}"/>
    <cellStyle name="Mifrog 2 4" xfId="3197" xr:uid="{00000000-0005-0000-0000-0000730C0000}"/>
    <cellStyle name="Mifrog 3" xfId="3198" xr:uid="{00000000-0005-0000-0000-0000740C0000}"/>
    <cellStyle name="Mifrog 3 2" xfId="3199" xr:uid="{00000000-0005-0000-0000-0000750C0000}"/>
    <cellStyle name="Mifrog 4" xfId="3200" xr:uid="{00000000-0005-0000-0000-0000760C0000}"/>
    <cellStyle name="Mifrog 4 2" xfId="3201" xr:uid="{00000000-0005-0000-0000-0000770C0000}"/>
    <cellStyle name="Mifrog 5" xfId="3202" xr:uid="{00000000-0005-0000-0000-0000780C0000}"/>
    <cellStyle name="Mifrog 5 2" xfId="3203" xr:uid="{00000000-0005-0000-0000-0000790C0000}"/>
    <cellStyle name="Mifrog 6" xfId="3204" xr:uid="{00000000-0005-0000-0000-00007A0C0000}"/>
    <cellStyle name="Mifrog 6 2" xfId="3205" xr:uid="{00000000-0005-0000-0000-00007B0C0000}"/>
    <cellStyle name="Mifrog 7" xfId="3206" xr:uid="{00000000-0005-0000-0000-00007C0C0000}"/>
    <cellStyle name="Mifrog 7 2" xfId="3207" xr:uid="{00000000-0005-0000-0000-00007D0C0000}"/>
    <cellStyle name="Migliaia (0)_07 Deut - FS0699HY" xfId="3208" xr:uid="{00000000-0005-0000-0000-00007E0C0000}"/>
    <cellStyle name="Migliaia_07 Deut - FS0699HY" xfId="3209" xr:uid="{00000000-0005-0000-0000-00007F0C0000}"/>
    <cellStyle name="Millares [0]_10 AVERIAS MASIVAS + ANT" xfId="3210" xr:uid="{00000000-0005-0000-0000-0000800C0000}"/>
    <cellStyle name="Millares_10 AVERIAS MASIVAS + ANT" xfId="3211" xr:uid="{00000000-0005-0000-0000-0000810C0000}"/>
    <cellStyle name="Milliers [0]_!!!GO" xfId="3212" xr:uid="{00000000-0005-0000-0000-0000820C0000}"/>
    <cellStyle name="Milliers_!!!GO" xfId="3213" xr:uid="{00000000-0005-0000-0000-0000830C0000}"/>
    <cellStyle name="Millions" xfId="3214" xr:uid="{00000000-0005-0000-0000-0000840C0000}"/>
    <cellStyle name="Millions 2" xfId="3215" xr:uid="{00000000-0005-0000-0000-0000850C0000}"/>
    <cellStyle name="Millions 3" xfId="3216" xr:uid="{00000000-0005-0000-0000-0000860C0000}"/>
    <cellStyle name="Millions[1]" xfId="3217" xr:uid="{00000000-0005-0000-0000-0000870C0000}"/>
    <cellStyle name="Millions_~0154029" xfId="3218" xr:uid="{00000000-0005-0000-0000-0000880C0000}"/>
    <cellStyle name="Moneda [0]_10 AVERIAS MASIVAS + ANT" xfId="3219" xr:uid="{00000000-0005-0000-0000-0000890C0000}"/>
    <cellStyle name="Moneda_10 AVERIAS MASIVAS + ANT" xfId="3220" xr:uid="{00000000-0005-0000-0000-00008A0C0000}"/>
    <cellStyle name="Monétaire [0]_!!!GO" xfId="3221" xr:uid="{00000000-0005-0000-0000-00008B0C0000}"/>
    <cellStyle name="Monétaire_!!!GO" xfId="3222" xr:uid="{00000000-0005-0000-0000-00008C0C0000}"/>
    <cellStyle name="Monetario" xfId="3223" xr:uid="{00000000-0005-0000-0000-00008D0C0000}"/>
    <cellStyle name="MonthYear" xfId="3224" xr:uid="{00000000-0005-0000-0000-00008E0C0000}"/>
    <cellStyle name="Mul1" xfId="3225" xr:uid="{00000000-0005-0000-0000-00008F0C0000}"/>
    <cellStyle name="Multiple" xfId="3226" xr:uid="{00000000-0005-0000-0000-0000900C0000}"/>
    <cellStyle name="Multiple [0]" xfId="3227" xr:uid="{00000000-0005-0000-0000-0000910C0000}"/>
    <cellStyle name="Multiple [1]" xfId="3228" xr:uid="{00000000-0005-0000-0000-0000920C0000}"/>
    <cellStyle name="Multiple 10" xfId="3229" xr:uid="{00000000-0005-0000-0000-0000930C0000}"/>
    <cellStyle name="Multiple 2" xfId="3230" xr:uid="{00000000-0005-0000-0000-0000940C0000}"/>
    <cellStyle name="Multiple 3" xfId="3231" xr:uid="{00000000-0005-0000-0000-0000950C0000}"/>
    <cellStyle name="Multiple 4" xfId="3232" xr:uid="{00000000-0005-0000-0000-0000960C0000}"/>
    <cellStyle name="Multiple 5" xfId="3233" xr:uid="{00000000-0005-0000-0000-0000970C0000}"/>
    <cellStyle name="Multiple 6" xfId="3234" xr:uid="{00000000-0005-0000-0000-0000980C0000}"/>
    <cellStyle name="Multiple 7" xfId="3235" xr:uid="{00000000-0005-0000-0000-0000990C0000}"/>
    <cellStyle name="Multiple 8" xfId="3236" xr:uid="{00000000-0005-0000-0000-00009A0C0000}"/>
    <cellStyle name="Multiple 9" xfId="3237" xr:uid="{00000000-0005-0000-0000-00009B0C0000}"/>
    <cellStyle name="Multiple(1)" xfId="3238" xr:uid="{00000000-0005-0000-0000-00009C0C0000}"/>
    <cellStyle name="Multiple(2)" xfId="3239" xr:uid="{00000000-0005-0000-0000-00009D0C0000}"/>
    <cellStyle name="Multiple_1Q10 ERF Supplement 3-15-10 Check" xfId="3240" xr:uid="{00000000-0005-0000-0000-00009E0C0000}"/>
    <cellStyle name="Multiple1" xfId="3241" xr:uid="{00000000-0005-0000-0000-00009F0C0000}"/>
    <cellStyle name="n*" xfId="3242" xr:uid="{00000000-0005-0000-0000-0000A00C0000}"/>
    <cellStyle name="NA is zero" xfId="3243" xr:uid="{00000000-0005-0000-0000-0000A10C0000}"/>
    <cellStyle name="Needs update" xfId="3244" xr:uid="{00000000-0005-0000-0000-0000A20C0000}"/>
    <cellStyle name="Neutral" xfId="13" builtinId="28" customBuiltin="1"/>
    <cellStyle name="Neutral 2" xfId="3245" xr:uid="{00000000-0005-0000-0000-0000A40C0000}"/>
    <cellStyle name="New Times Roman" xfId="3246" xr:uid="{00000000-0005-0000-0000-0000A50C0000}"/>
    <cellStyle name="NewAcct" xfId="3247" xr:uid="{00000000-0005-0000-0000-0000A60C0000}"/>
    <cellStyle name="newstyle" xfId="3248" xr:uid="{00000000-0005-0000-0000-0000A70C0000}"/>
    <cellStyle name="no dec" xfId="3249" xr:uid="{00000000-0005-0000-0000-0000A80C0000}"/>
    <cellStyle name="No-Action" xfId="3250" xr:uid="{00000000-0005-0000-0000-0000A90C0000}"/>
    <cellStyle name="NoEntry" xfId="3251" xr:uid="{00000000-0005-0000-0000-0000AA0C0000}"/>
    <cellStyle name="NoEntry 2" xfId="3252" xr:uid="{00000000-0005-0000-0000-0000AB0C0000}"/>
    <cellStyle name="NoEntry 3" xfId="3253" xr:uid="{00000000-0005-0000-0000-0000AC0C0000}"/>
    <cellStyle name="NoEntry 4" xfId="3254" xr:uid="{00000000-0005-0000-0000-0000AD0C0000}"/>
    <cellStyle name="NoEntry 5" xfId="3255" xr:uid="{00000000-0005-0000-0000-0000AE0C0000}"/>
    <cellStyle name="NoMultiple(1)" xfId="3256" xr:uid="{00000000-0005-0000-0000-0000AF0C0000}"/>
    <cellStyle name="NoMultiple(2)" xfId="3257" xr:uid="{00000000-0005-0000-0000-0000B00C0000}"/>
    <cellStyle name="NoPercent(0)" xfId="3258" xr:uid="{00000000-0005-0000-0000-0000B10C0000}"/>
    <cellStyle name="NoPercent(1)" xfId="3259" xr:uid="{00000000-0005-0000-0000-0000B20C0000}"/>
    <cellStyle name="NoPercent(2)" xfId="3260" xr:uid="{00000000-0005-0000-0000-0000B30C0000}"/>
    <cellStyle name="Nor" xfId="3261" xr:uid="{00000000-0005-0000-0000-0000B40C0000}"/>
    <cellStyle name="Normal" xfId="0" builtinId="0"/>
    <cellStyle name="Normal--" xfId="3262" xr:uid="{00000000-0005-0000-0000-0000B60C0000}"/>
    <cellStyle name="Normal - Style1" xfId="3263" xr:uid="{00000000-0005-0000-0000-0000B70C0000}"/>
    <cellStyle name="Normal - Style1 2" xfId="3264" xr:uid="{00000000-0005-0000-0000-0000B80C0000}"/>
    <cellStyle name="Normal - Style2" xfId="3265" xr:uid="{00000000-0005-0000-0000-0000B90C0000}"/>
    <cellStyle name="Normal - Style3" xfId="3266" xr:uid="{00000000-0005-0000-0000-0000BA0C0000}"/>
    <cellStyle name="Normal - Style4" xfId="3267" xr:uid="{00000000-0005-0000-0000-0000BB0C0000}"/>
    <cellStyle name="Normal - Style5" xfId="3268" xr:uid="{00000000-0005-0000-0000-0000BC0C0000}"/>
    <cellStyle name="Normal - Style6" xfId="3269" xr:uid="{00000000-0005-0000-0000-0000BD0C0000}"/>
    <cellStyle name="Normal - Style7" xfId="3270" xr:uid="{00000000-0005-0000-0000-0000BE0C0000}"/>
    <cellStyle name="Normal - Style8" xfId="3271" xr:uid="{00000000-0005-0000-0000-0000BF0C0000}"/>
    <cellStyle name="Normal [0]" xfId="3272" xr:uid="{00000000-0005-0000-0000-0000C00C0000}"/>
    <cellStyle name="Normal [1]" xfId="3273" xr:uid="{00000000-0005-0000-0000-0000C10C0000}"/>
    <cellStyle name="Normal [2]" xfId="3274" xr:uid="{00000000-0005-0000-0000-0000C20C0000}"/>
    <cellStyle name="Normal [3]" xfId="3275" xr:uid="{00000000-0005-0000-0000-0000C30C0000}"/>
    <cellStyle name="Normal 10" xfId="3276" xr:uid="{00000000-0005-0000-0000-0000C40C0000}"/>
    <cellStyle name="Normal 10 2" xfId="3277" xr:uid="{00000000-0005-0000-0000-0000C50C0000}"/>
    <cellStyle name="Normal 10 3" xfId="3278" xr:uid="{00000000-0005-0000-0000-0000C60C0000}"/>
    <cellStyle name="Normal 10 3 2" xfId="3279" xr:uid="{00000000-0005-0000-0000-0000C70C0000}"/>
    <cellStyle name="Normal 10 4" xfId="3280" xr:uid="{00000000-0005-0000-0000-0000C80C0000}"/>
    <cellStyle name="Normal 11" xfId="3281" xr:uid="{00000000-0005-0000-0000-0000C90C0000}"/>
    <cellStyle name="Normal 12" xfId="3282" xr:uid="{00000000-0005-0000-0000-0000CA0C0000}"/>
    <cellStyle name="Normal 13" xfId="3283" xr:uid="{00000000-0005-0000-0000-0000CB0C0000}"/>
    <cellStyle name="Normal 14" xfId="3284" xr:uid="{00000000-0005-0000-0000-0000CC0C0000}"/>
    <cellStyle name="Normal 15" xfId="3285" xr:uid="{00000000-0005-0000-0000-0000CD0C0000}"/>
    <cellStyle name="Normal 16" xfId="3286" xr:uid="{00000000-0005-0000-0000-0000CE0C0000}"/>
    <cellStyle name="Normal 17" xfId="3287" xr:uid="{00000000-0005-0000-0000-0000CF0C0000}"/>
    <cellStyle name="Normal 18" xfId="3288" xr:uid="{00000000-0005-0000-0000-0000D00C0000}"/>
    <cellStyle name="Normal 19" xfId="3289" xr:uid="{00000000-0005-0000-0000-0000D10C0000}"/>
    <cellStyle name="Normal 2" xfId="6" xr:uid="{00000000-0005-0000-0000-0000D20C0000}"/>
    <cellStyle name="Normal 2 2" xfId="3290" xr:uid="{00000000-0005-0000-0000-0000D30C0000}"/>
    <cellStyle name="Normal 2 2 2" xfId="3291" xr:uid="{00000000-0005-0000-0000-0000D40C0000}"/>
    <cellStyle name="Normal 2 2 3" xfId="3292" xr:uid="{00000000-0005-0000-0000-0000D50C0000}"/>
    <cellStyle name="Normal 2 2 4" xfId="3293" xr:uid="{00000000-0005-0000-0000-0000D60C0000}"/>
    <cellStyle name="Normal 2 3" xfId="3294" xr:uid="{00000000-0005-0000-0000-0000D70C0000}"/>
    <cellStyle name="Normal 2 3 2" xfId="3295" xr:uid="{00000000-0005-0000-0000-0000D80C0000}"/>
    <cellStyle name="Normal 2 3 3" xfId="3296" xr:uid="{00000000-0005-0000-0000-0000D90C0000}"/>
    <cellStyle name="Normal 2 3 4" xfId="3297" xr:uid="{00000000-0005-0000-0000-0000DA0C0000}"/>
    <cellStyle name="Normal 2 3 5" xfId="3298" xr:uid="{00000000-0005-0000-0000-0000DB0C0000}"/>
    <cellStyle name="Normal 2 3 6" xfId="3299" xr:uid="{00000000-0005-0000-0000-0000DC0C0000}"/>
    <cellStyle name="Normal 2 4" xfId="3300" xr:uid="{00000000-0005-0000-0000-0000DD0C0000}"/>
    <cellStyle name="Normal 2 4 2" xfId="3301" xr:uid="{00000000-0005-0000-0000-0000DE0C0000}"/>
    <cellStyle name="Normal 2 5" xfId="3302" xr:uid="{00000000-0005-0000-0000-0000DF0C0000}"/>
    <cellStyle name="Normal 2 6" xfId="3303" xr:uid="{00000000-0005-0000-0000-0000E00C0000}"/>
    <cellStyle name="Normal 2 7" xfId="3304" xr:uid="{00000000-0005-0000-0000-0000E10C0000}"/>
    <cellStyle name="Normal 2 8" xfId="3305" xr:uid="{00000000-0005-0000-0000-0000E20C0000}"/>
    <cellStyle name="Normal 2 9" xfId="3953" xr:uid="{00000000-0005-0000-0000-0000E30C0000}"/>
    <cellStyle name="Normal 2_Data" xfId="3306" xr:uid="{00000000-0005-0000-0000-0000E40C0000}"/>
    <cellStyle name="Normal 20" xfId="3307" xr:uid="{00000000-0005-0000-0000-0000E50C0000}"/>
    <cellStyle name="Normal 21" xfId="3308" xr:uid="{00000000-0005-0000-0000-0000E60C0000}"/>
    <cellStyle name="Normal 21 2" xfId="3309" xr:uid="{00000000-0005-0000-0000-0000E70C0000}"/>
    <cellStyle name="Normal 22" xfId="3310" xr:uid="{00000000-0005-0000-0000-0000E80C0000}"/>
    <cellStyle name="Normal 23" xfId="3311" xr:uid="{00000000-0005-0000-0000-0000E90C0000}"/>
    <cellStyle name="Normal 24" xfId="3312" xr:uid="{00000000-0005-0000-0000-0000EA0C0000}"/>
    <cellStyle name="Normal 25" xfId="3313" xr:uid="{00000000-0005-0000-0000-0000EB0C0000}"/>
    <cellStyle name="Normal 26" xfId="3314" xr:uid="{00000000-0005-0000-0000-0000EC0C0000}"/>
    <cellStyle name="Normal 27" xfId="3315" xr:uid="{00000000-0005-0000-0000-0000ED0C0000}"/>
    <cellStyle name="Normal 27 2" xfId="3316" xr:uid="{00000000-0005-0000-0000-0000EE0C0000}"/>
    <cellStyle name="Normal 27 3" xfId="3317" xr:uid="{00000000-0005-0000-0000-0000EF0C0000}"/>
    <cellStyle name="Normal 28" xfId="3318" xr:uid="{00000000-0005-0000-0000-0000F00C0000}"/>
    <cellStyle name="Normal 28 2" xfId="3319" xr:uid="{00000000-0005-0000-0000-0000F10C0000}"/>
    <cellStyle name="Normal 28 3" xfId="3320" xr:uid="{00000000-0005-0000-0000-0000F20C0000}"/>
    <cellStyle name="Normal 29" xfId="3321" xr:uid="{00000000-0005-0000-0000-0000F30C0000}"/>
    <cellStyle name="Normal 29 2" xfId="3322" xr:uid="{00000000-0005-0000-0000-0000F40C0000}"/>
    <cellStyle name="Normal 29 3" xfId="3323" xr:uid="{00000000-0005-0000-0000-0000F50C0000}"/>
    <cellStyle name="Normal 3" xfId="2" xr:uid="{00000000-0005-0000-0000-0000F60C0000}"/>
    <cellStyle name="Normal 3 10" xfId="3324" xr:uid="{00000000-0005-0000-0000-0000F70C0000}"/>
    <cellStyle name="Normal 3 11" xfId="3325" xr:uid="{00000000-0005-0000-0000-0000F80C0000}"/>
    <cellStyle name="Normal 3 12" xfId="3326" xr:uid="{00000000-0005-0000-0000-0000F90C0000}"/>
    <cellStyle name="Normal 3 2" xfId="3327" xr:uid="{00000000-0005-0000-0000-0000FA0C0000}"/>
    <cellStyle name="Normal 3 2 2" xfId="3328" xr:uid="{00000000-0005-0000-0000-0000FB0C0000}"/>
    <cellStyle name="Normal 3 3" xfId="3329" xr:uid="{00000000-0005-0000-0000-0000FC0C0000}"/>
    <cellStyle name="Normal 3 4" xfId="3330" xr:uid="{00000000-0005-0000-0000-0000FD0C0000}"/>
    <cellStyle name="Normal 3 4 2" xfId="3331" xr:uid="{00000000-0005-0000-0000-0000FE0C0000}"/>
    <cellStyle name="Normal 3 4 3" xfId="3332" xr:uid="{00000000-0005-0000-0000-0000FF0C0000}"/>
    <cellStyle name="Normal 3 4 4" xfId="3333" xr:uid="{00000000-0005-0000-0000-0000000D0000}"/>
    <cellStyle name="Normal 3 5" xfId="3334" xr:uid="{00000000-0005-0000-0000-0000010D0000}"/>
    <cellStyle name="Normal 3 6" xfId="3335" xr:uid="{00000000-0005-0000-0000-0000020D0000}"/>
    <cellStyle name="Normal 3 7" xfId="3336" xr:uid="{00000000-0005-0000-0000-0000030D0000}"/>
    <cellStyle name="Normal 3 8" xfId="3337" xr:uid="{00000000-0005-0000-0000-0000040D0000}"/>
    <cellStyle name="Normal 3 9" xfId="3338" xr:uid="{00000000-0005-0000-0000-0000050D0000}"/>
    <cellStyle name="Normal 30" xfId="3339" xr:uid="{00000000-0005-0000-0000-0000060D0000}"/>
    <cellStyle name="Normal 30 2" xfId="3340" xr:uid="{00000000-0005-0000-0000-0000070D0000}"/>
    <cellStyle name="Normal 30 3" xfId="3341" xr:uid="{00000000-0005-0000-0000-0000080D0000}"/>
    <cellStyle name="Normal 31" xfId="3342" xr:uid="{00000000-0005-0000-0000-0000090D0000}"/>
    <cellStyle name="Normal 31 2" xfId="3343" xr:uid="{00000000-0005-0000-0000-00000A0D0000}"/>
    <cellStyle name="Normal 31 3" xfId="3344" xr:uid="{00000000-0005-0000-0000-00000B0D0000}"/>
    <cellStyle name="Normal 32" xfId="3345" xr:uid="{00000000-0005-0000-0000-00000C0D0000}"/>
    <cellStyle name="Normal 32 2" xfId="3346" xr:uid="{00000000-0005-0000-0000-00000D0D0000}"/>
    <cellStyle name="Normal 32 3" xfId="3347" xr:uid="{00000000-0005-0000-0000-00000E0D0000}"/>
    <cellStyle name="Normal 33" xfId="3348" xr:uid="{00000000-0005-0000-0000-00000F0D0000}"/>
    <cellStyle name="Normal 33 2" xfId="3349" xr:uid="{00000000-0005-0000-0000-0000100D0000}"/>
    <cellStyle name="Normal 33 3" xfId="3350" xr:uid="{00000000-0005-0000-0000-0000110D0000}"/>
    <cellStyle name="Normal 34" xfId="3351" xr:uid="{00000000-0005-0000-0000-0000120D0000}"/>
    <cellStyle name="Normal 35" xfId="3352" xr:uid="{00000000-0005-0000-0000-0000130D0000}"/>
    <cellStyle name="Normal 36" xfId="3353" xr:uid="{00000000-0005-0000-0000-0000140D0000}"/>
    <cellStyle name="Normal 37" xfId="3354" xr:uid="{00000000-0005-0000-0000-0000150D0000}"/>
    <cellStyle name="Normal 38" xfId="3355" xr:uid="{00000000-0005-0000-0000-0000160D0000}"/>
    <cellStyle name="Normal 39" xfId="3356" xr:uid="{00000000-0005-0000-0000-0000170D0000}"/>
    <cellStyle name="Normal 4" xfId="5" xr:uid="{00000000-0005-0000-0000-0000180D0000}"/>
    <cellStyle name="Normal 4 10" xfId="3357" xr:uid="{00000000-0005-0000-0000-0000190D0000}"/>
    <cellStyle name="Normal 4 2" xfId="3358" xr:uid="{00000000-0005-0000-0000-00001A0D0000}"/>
    <cellStyle name="Normal 4 2 2" xfId="3359" xr:uid="{00000000-0005-0000-0000-00001B0D0000}"/>
    <cellStyle name="Normal 4 2 3" xfId="3360" xr:uid="{00000000-0005-0000-0000-00001C0D0000}"/>
    <cellStyle name="Normal 4 3" xfId="3361" xr:uid="{00000000-0005-0000-0000-00001D0D0000}"/>
    <cellStyle name="Normal 4 4" xfId="3362" xr:uid="{00000000-0005-0000-0000-00001E0D0000}"/>
    <cellStyle name="Normal 4 5" xfId="3363" xr:uid="{00000000-0005-0000-0000-00001F0D0000}"/>
    <cellStyle name="Normal 4 6" xfId="3364" xr:uid="{00000000-0005-0000-0000-0000200D0000}"/>
    <cellStyle name="Normal 4 7" xfId="3365" xr:uid="{00000000-0005-0000-0000-0000210D0000}"/>
    <cellStyle name="Normal 4 8" xfId="3366" xr:uid="{00000000-0005-0000-0000-0000220D0000}"/>
    <cellStyle name="Normal 4 9" xfId="3367" xr:uid="{00000000-0005-0000-0000-0000230D0000}"/>
    <cellStyle name="Normal 40" xfId="3368" xr:uid="{00000000-0005-0000-0000-0000240D0000}"/>
    <cellStyle name="Normal 41" xfId="3369" xr:uid="{00000000-0005-0000-0000-0000250D0000}"/>
    <cellStyle name="Normal 42" xfId="3370" xr:uid="{00000000-0005-0000-0000-0000260D0000}"/>
    <cellStyle name="Normal 43" xfId="3371" xr:uid="{00000000-0005-0000-0000-0000270D0000}"/>
    <cellStyle name="Normal 44" xfId="3372" xr:uid="{00000000-0005-0000-0000-0000280D0000}"/>
    <cellStyle name="Normal 45" xfId="3373" xr:uid="{00000000-0005-0000-0000-0000290D0000}"/>
    <cellStyle name="Normal 45 2" xfId="3374" xr:uid="{00000000-0005-0000-0000-00002A0D0000}"/>
    <cellStyle name="Normal 45 3" xfId="3375" xr:uid="{00000000-0005-0000-0000-00002B0D0000}"/>
    <cellStyle name="Normal 45 3 2" xfId="3376" xr:uid="{00000000-0005-0000-0000-00002C0D0000}"/>
    <cellStyle name="Normal 46" xfId="3377" xr:uid="{00000000-0005-0000-0000-00002D0D0000}"/>
    <cellStyle name="Normal 47" xfId="3378" xr:uid="{00000000-0005-0000-0000-00002E0D0000}"/>
    <cellStyle name="Normal 48" xfId="3379" xr:uid="{00000000-0005-0000-0000-00002F0D0000}"/>
    <cellStyle name="Normal 49" xfId="3380" xr:uid="{00000000-0005-0000-0000-0000300D0000}"/>
    <cellStyle name="Normal 5" xfId="3381" xr:uid="{00000000-0005-0000-0000-0000310D0000}"/>
    <cellStyle name="Normal 5 2" xfId="3382" xr:uid="{00000000-0005-0000-0000-0000320D0000}"/>
    <cellStyle name="Normal 5 2 2" xfId="3383" xr:uid="{00000000-0005-0000-0000-0000330D0000}"/>
    <cellStyle name="Normal 5 2 2 2" xfId="3384" xr:uid="{00000000-0005-0000-0000-0000340D0000}"/>
    <cellStyle name="Normal 5 2 2 3" xfId="3385" xr:uid="{00000000-0005-0000-0000-0000350D0000}"/>
    <cellStyle name="Normal 5 2 2 4" xfId="3386" xr:uid="{00000000-0005-0000-0000-0000360D0000}"/>
    <cellStyle name="Normal 5 3" xfId="3387" xr:uid="{00000000-0005-0000-0000-0000370D0000}"/>
    <cellStyle name="Normal 5 4" xfId="3388" xr:uid="{00000000-0005-0000-0000-0000380D0000}"/>
    <cellStyle name="Normal 5 5" xfId="3389" xr:uid="{00000000-0005-0000-0000-0000390D0000}"/>
    <cellStyle name="Normal 5 6" xfId="3390" xr:uid="{00000000-0005-0000-0000-00003A0D0000}"/>
    <cellStyle name="Normal 5 7" xfId="3391" xr:uid="{00000000-0005-0000-0000-00003B0D0000}"/>
    <cellStyle name="Normal 50" xfId="3392" xr:uid="{00000000-0005-0000-0000-00003C0D0000}"/>
    <cellStyle name="Normal 51" xfId="3393" xr:uid="{00000000-0005-0000-0000-00003D0D0000}"/>
    <cellStyle name="Normal 52" xfId="3394" xr:uid="{00000000-0005-0000-0000-00003E0D0000}"/>
    <cellStyle name="Normal 53" xfId="3395" xr:uid="{00000000-0005-0000-0000-00003F0D0000}"/>
    <cellStyle name="Normal 54" xfId="3396" xr:uid="{00000000-0005-0000-0000-0000400D0000}"/>
    <cellStyle name="Normal 55" xfId="3397" xr:uid="{00000000-0005-0000-0000-0000410D0000}"/>
    <cellStyle name="Normal 56" xfId="3398" xr:uid="{00000000-0005-0000-0000-0000420D0000}"/>
    <cellStyle name="Normal 57" xfId="3399" xr:uid="{00000000-0005-0000-0000-0000430D0000}"/>
    <cellStyle name="Normal 58" xfId="3400" xr:uid="{00000000-0005-0000-0000-0000440D0000}"/>
    <cellStyle name="Normal 59" xfId="3401" xr:uid="{00000000-0005-0000-0000-0000450D0000}"/>
    <cellStyle name="Normal 6" xfId="3402" xr:uid="{00000000-0005-0000-0000-0000460D0000}"/>
    <cellStyle name="Normal 6 2" xfId="3403" xr:uid="{00000000-0005-0000-0000-0000470D0000}"/>
    <cellStyle name="Normal 6 3" xfId="3404" xr:uid="{00000000-0005-0000-0000-0000480D0000}"/>
    <cellStyle name="Normal 60" xfId="3405" xr:uid="{00000000-0005-0000-0000-0000490D0000}"/>
    <cellStyle name="Normal 61" xfId="3406" xr:uid="{00000000-0005-0000-0000-00004A0D0000}"/>
    <cellStyle name="Normal 62" xfId="3407" xr:uid="{00000000-0005-0000-0000-00004B0D0000}"/>
    <cellStyle name="Normal 63" xfId="3408" xr:uid="{00000000-0005-0000-0000-00004C0D0000}"/>
    <cellStyle name="Normal 64" xfId="3409" xr:uid="{00000000-0005-0000-0000-00004D0D0000}"/>
    <cellStyle name="Normal 65" xfId="3410" xr:uid="{00000000-0005-0000-0000-00004E0D0000}"/>
    <cellStyle name="Normal 66" xfId="3411" xr:uid="{00000000-0005-0000-0000-00004F0D0000}"/>
    <cellStyle name="Normal 67" xfId="3412" xr:uid="{00000000-0005-0000-0000-0000500D0000}"/>
    <cellStyle name="Normal 68" xfId="3413" xr:uid="{00000000-0005-0000-0000-0000510D0000}"/>
    <cellStyle name="Normal 69" xfId="3414" xr:uid="{00000000-0005-0000-0000-0000520D0000}"/>
    <cellStyle name="Normal 7" xfId="3415" xr:uid="{00000000-0005-0000-0000-0000530D0000}"/>
    <cellStyle name="Normal 70" xfId="3416" xr:uid="{00000000-0005-0000-0000-0000540D0000}"/>
    <cellStyle name="Normal 70 2" xfId="3417" xr:uid="{00000000-0005-0000-0000-0000550D0000}"/>
    <cellStyle name="Normal 71" xfId="3418" xr:uid="{00000000-0005-0000-0000-0000560D0000}"/>
    <cellStyle name="Normal 72" xfId="3419" xr:uid="{00000000-0005-0000-0000-0000570D0000}"/>
    <cellStyle name="Normal 72 2" xfId="3420" xr:uid="{00000000-0005-0000-0000-0000580D0000}"/>
    <cellStyle name="Normal 73" xfId="3421" xr:uid="{00000000-0005-0000-0000-0000590D0000}"/>
    <cellStyle name="Normal 73 2" xfId="3422" xr:uid="{00000000-0005-0000-0000-00005A0D0000}"/>
    <cellStyle name="Normal 74" xfId="3423" xr:uid="{00000000-0005-0000-0000-00005B0D0000}"/>
    <cellStyle name="Normal 75" xfId="3424" xr:uid="{00000000-0005-0000-0000-00005C0D0000}"/>
    <cellStyle name="Normal 76" xfId="3425" xr:uid="{00000000-0005-0000-0000-00005D0D0000}"/>
    <cellStyle name="Normal 77" xfId="3426" xr:uid="{00000000-0005-0000-0000-00005E0D0000}"/>
    <cellStyle name="Normal 8" xfId="3427" xr:uid="{00000000-0005-0000-0000-00005F0D0000}"/>
    <cellStyle name="Normal 8 2" xfId="3428" xr:uid="{00000000-0005-0000-0000-0000600D0000}"/>
    <cellStyle name="Normal 8 2 2" xfId="3429" xr:uid="{00000000-0005-0000-0000-0000610D0000}"/>
    <cellStyle name="Normal 8 3" xfId="3430" xr:uid="{00000000-0005-0000-0000-0000620D0000}"/>
    <cellStyle name="Normal 8 4" xfId="3431" xr:uid="{00000000-0005-0000-0000-0000630D0000}"/>
    <cellStyle name="Normal 8 5" xfId="3432" xr:uid="{00000000-0005-0000-0000-0000640D0000}"/>
    <cellStyle name="Normal 9" xfId="3433" xr:uid="{00000000-0005-0000-0000-0000650D0000}"/>
    <cellStyle name="Normal 9 2" xfId="3434" xr:uid="{00000000-0005-0000-0000-0000660D0000}"/>
    <cellStyle name="Normal 9 3" xfId="3435" xr:uid="{00000000-0005-0000-0000-0000670D0000}"/>
    <cellStyle name="Normal Bold" xfId="3436" xr:uid="{00000000-0005-0000-0000-0000680D0000}"/>
    <cellStyle name="Normal Bold [0]" xfId="3437" xr:uid="{00000000-0005-0000-0000-0000690D0000}"/>
    <cellStyle name="Normal Bold_Copy of Global IB Risk Bal Sht 5th Aug 2010" xfId="3438" xr:uid="{00000000-0005-0000-0000-00006A0D0000}"/>
    <cellStyle name="Normal Pct" xfId="3439" xr:uid="{00000000-0005-0000-0000-00006B0D0000}"/>
    <cellStyle name="Normal(0)CenGreen" xfId="3440" xr:uid="{00000000-0005-0000-0000-00006C0D0000}"/>
    <cellStyle name="Normal(0)CenGreen 2" xfId="3441" xr:uid="{00000000-0005-0000-0000-00006D0D0000}"/>
    <cellStyle name="Normal(0)CenGreen 3" xfId="3442" xr:uid="{00000000-0005-0000-0000-00006E0D0000}"/>
    <cellStyle name="Normal(0)Center" xfId="3443" xr:uid="{00000000-0005-0000-0000-00006F0D0000}"/>
    <cellStyle name="Normal(0)Center2" xfId="3444" xr:uid="{00000000-0005-0000-0000-0000700D0000}"/>
    <cellStyle name="Normal0" xfId="3445" xr:uid="{00000000-0005-0000-0000-0000710D0000}"/>
    <cellStyle name="Normal2" xfId="3446" xr:uid="{00000000-0005-0000-0000-0000720D0000}"/>
    <cellStyle name="Normal2 2" xfId="3447" xr:uid="{00000000-0005-0000-0000-0000730D0000}"/>
    <cellStyle name="Normal2 3" xfId="3448" xr:uid="{00000000-0005-0000-0000-0000740D0000}"/>
    <cellStyle name="NormalBold" xfId="3449" xr:uid="{00000000-0005-0000-0000-0000750D0000}"/>
    <cellStyle name="NormalCurrencyCenter" xfId="3450" xr:uid="{00000000-0005-0000-0000-0000760D0000}"/>
    <cellStyle name="Normale_07 Deut - FS0699HY" xfId="3451" xr:uid="{00000000-0005-0000-0000-0000770D0000}"/>
    <cellStyle name="NormalInput" xfId="3452" xr:uid="{00000000-0005-0000-0000-0000780D0000}"/>
    <cellStyle name="NormalInput 2" xfId="3453" xr:uid="{00000000-0005-0000-0000-0000790D0000}"/>
    <cellStyle name="NormalInput 3" xfId="3454" xr:uid="{00000000-0005-0000-0000-00007A0D0000}"/>
    <cellStyle name="NormalInput 4" xfId="3455" xr:uid="{00000000-0005-0000-0000-00007B0D0000}"/>
    <cellStyle name="NormalInput 5" xfId="3456" xr:uid="{00000000-0005-0000-0000-00007C0D0000}"/>
    <cellStyle name="NormalInput1" xfId="3457" xr:uid="{00000000-0005-0000-0000-00007D0D0000}"/>
    <cellStyle name="NormalInput2" xfId="3458" xr:uid="{00000000-0005-0000-0000-00007E0D0000}"/>
    <cellStyle name="NormalLarge" xfId="3459" xr:uid="{00000000-0005-0000-0000-00007F0D0000}"/>
    <cellStyle name="NormalMultiple" xfId="3460" xr:uid="{00000000-0005-0000-0000-0000800D0000}"/>
    <cellStyle name="NormalOutput" xfId="3461" xr:uid="{00000000-0005-0000-0000-0000810D0000}"/>
    <cellStyle name="NormalUnprotect" xfId="3462" xr:uid="{00000000-0005-0000-0000-0000820D0000}"/>
    <cellStyle name="Normalx" xfId="3463" xr:uid="{00000000-0005-0000-0000-0000830D0000}"/>
    <cellStyle name="NormalxShadow" xfId="3464" xr:uid="{00000000-0005-0000-0000-0000840D0000}"/>
    <cellStyle name="Not Implemented" xfId="3465" xr:uid="{00000000-0005-0000-0000-0000850D0000}"/>
    <cellStyle name="Not Implemented 2" xfId="3466" xr:uid="{00000000-0005-0000-0000-0000860D0000}"/>
    <cellStyle name="Not Implemented 3" xfId="3467" xr:uid="{00000000-0005-0000-0000-0000870D0000}"/>
    <cellStyle name="Not Implemented 4" xfId="3468" xr:uid="{00000000-0005-0000-0000-0000880D0000}"/>
    <cellStyle name="Not Implemented 5" xfId="3469" xr:uid="{00000000-0005-0000-0000-0000890D0000}"/>
    <cellStyle name="Not_Excession" xfId="3470" xr:uid="{00000000-0005-0000-0000-00008A0D0000}"/>
    <cellStyle name="Note" xfId="1" builtinId="10" customBuiltin="1"/>
    <cellStyle name="Note 2" xfId="3471" xr:uid="{00000000-0005-0000-0000-00008C0D0000}"/>
    <cellStyle name="Note 2 2" xfId="3472" xr:uid="{00000000-0005-0000-0000-00008D0D0000}"/>
    <cellStyle name="Note 2 3" xfId="3473" xr:uid="{00000000-0005-0000-0000-00008E0D0000}"/>
    <cellStyle name="Note 3" xfId="3474" xr:uid="{00000000-0005-0000-0000-00008F0D0000}"/>
    <cellStyle name="Note 3 2" xfId="3475" xr:uid="{00000000-0005-0000-0000-0000900D0000}"/>
    <cellStyle name="Note 3 3" xfId="3476" xr:uid="{00000000-0005-0000-0000-0000910D0000}"/>
    <cellStyle name="nplode" xfId="3477" xr:uid="{00000000-0005-0000-0000-0000920D0000}"/>
    <cellStyle name="nPlosion" xfId="3478" xr:uid="{00000000-0005-0000-0000-0000930D0000}"/>
    <cellStyle name="NPPESalesPct" xfId="3479" xr:uid="{00000000-0005-0000-0000-0000940D0000}"/>
    <cellStyle name="num,nodecpts" xfId="3480" xr:uid="{00000000-0005-0000-0000-0000950D0000}"/>
    <cellStyle name="Num1" xfId="3481" xr:uid="{00000000-0005-0000-0000-0000960D0000}"/>
    <cellStyle name="Number" xfId="3482" xr:uid="{00000000-0005-0000-0000-0000970D0000}"/>
    <cellStyle name="Number [0]" xfId="3483" xr:uid="{00000000-0005-0000-0000-0000980D0000}"/>
    <cellStyle name="Number(0)" xfId="3484" xr:uid="{00000000-0005-0000-0000-0000990D0000}"/>
    <cellStyle name="Number(1)" xfId="3485" xr:uid="{00000000-0005-0000-0000-00009A0D0000}"/>
    <cellStyle name="Number(2)" xfId="3486" xr:uid="{00000000-0005-0000-0000-00009B0D0000}"/>
    <cellStyle name="Number_~9831392" xfId="3487" xr:uid="{00000000-0005-0000-0000-00009C0D0000}"/>
    <cellStyle name="Number2DecimalStyle" xfId="3488" xr:uid="{00000000-0005-0000-0000-00009D0D0000}"/>
    <cellStyle name="Number2DecimalStyle 2" xfId="3489" xr:uid="{00000000-0005-0000-0000-00009E0D0000}"/>
    <cellStyle name="Number2DecimalStyle 3" xfId="3490" xr:uid="{00000000-0005-0000-0000-00009F0D0000}"/>
    <cellStyle name="NumberFormat" xfId="3491" xr:uid="{00000000-0005-0000-0000-0000A00D0000}"/>
    <cellStyle name="Numbers" xfId="3492" xr:uid="{00000000-0005-0000-0000-0000A10D0000}"/>
    <cellStyle name="Numbers - Bold" xfId="3493" xr:uid="{00000000-0005-0000-0000-0000A20D0000}"/>
    <cellStyle name="Numbers - Bold - Italic" xfId="3494" xr:uid="{00000000-0005-0000-0000-0000A30D0000}"/>
    <cellStyle name="Numbers - Bold - Italic 2" xfId="3495" xr:uid="{00000000-0005-0000-0000-0000A40D0000}"/>
    <cellStyle name="Numbers - Bold - Italic 3" xfId="3496" xr:uid="{00000000-0005-0000-0000-0000A50D0000}"/>
    <cellStyle name="Numbers - Bold 10" xfId="3497" xr:uid="{00000000-0005-0000-0000-0000A60D0000}"/>
    <cellStyle name="Numbers - Bold 2" xfId="3498" xr:uid="{00000000-0005-0000-0000-0000A70D0000}"/>
    <cellStyle name="Numbers - Bold 3" xfId="3499" xr:uid="{00000000-0005-0000-0000-0000A80D0000}"/>
    <cellStyle name="Numbers - Bold 4" xfId="3500" xr:uid="{00000000-0005-0000-0000-0000A90D0000}"/>
    <cellStyle name="Numbers - Bold 5" xfId="3501" xr:uid="{00000000-0005-0000-0000-0000AA0D0000}"/>
    <cellStyle name="Numbers - Bold 6" xfId="3502" xr:uid="{00000000-0005-0000-0000-0000AB0D0000}"/>
    <cellStyle name="Numbers - Bold 7" xfId="3503" xr:uid="{00000000-0005-0000-0000-0000AC0D0000}"/>
    <cellStyle name="Numbers - Bold 8" xfId="3504" xr:uid="{00000000-0005-0000-0000-0000AD0D0000}"/>
    <cellStyle name="Numbers - Bold 9" xfId="3505" xr:uid="{00000000-0005-0000-0000-0000AE0D0000}"/>
    <cellStyle name="Numbers - Bold_3Q09 ERF Supplement 9-17-09 revised 10022009" xfId="3506" xr:uid="{00000000-0005-0000-0000-0000AF0D0000}"/>
    <cellStyle name="Numbers - Large" xfId="3507" xr:uid="{00000000-0005-0000-0000-0000B00D0000}"/>
    <cellStyle name="Numbers 10" xfId="3508" xr:uid="{00000000-0005-0000-0000-0000B10D0000}"/>
    <cellStyle name="Numbers 2" xfId="3509" xr:uid="{00000000-0005-0000-0000-0000B20D0000}"/>
    <cellStyle name="Numbers 3" xfId="3510" xr:uid="{00000000-0005-0000-0000-0000B30D0000}"/>
    <cellStyle name="Numbers 4" xfId="3511" xr:uid="{00000000-0005-0000-0000-0000B40D0000}"/>
    <cellStyle name="Numbers 5" xfId="3512" xr:uid="{00000000-0005-0000-0000-0000B50D0000}"/>
    <cellStyle name="Numbers 6" xfId="3513" xr:uid="{00000000-0005-0000-0000-0000B60D0000}"/>
    <cellStyle name="Numbers 7" xfId="3514" xr:uid="{00000000-0005-0000-0000-0000B70D0000}"/>
    <cellStyle name="Numbers 8" xfId="3515" xr:uid="{00000000-0005-0000-0000-0000B80D0000}"/>
    <cellStyle name="Numbers 9" xfId="3516" xr:uid="{00000000-0005-0000-0000-0000B90D0000}"/>
    <cellStyle name="Numbers_1Q10 ERF Supplement 3-15-10 Check" xfId="3517" xr:uid="{00000000-0005-0000-0000-0000BA0D0000}"/>
    <cellStyle name="nVision" xfId="3518" xr:uid="{00000000-0005-0000-0000-0000BB0D0000}"/>
    <cellStyle name="NWI%S" xfId="3519" xr:uid="{00000000-0005-0000-0000-0000BC0D0000}"/>
    <cellStyle name="O1" xfId="3520" xr:uid="{00000000-0005-0000-0000-0000BD0D0000}"/>
    <cellStyle name="O2" xfId="3521" xr:uid="{00000000-0005-0000-0000-0000BE0D0000}"/>
    <cellStyle name="Œ…‹æØ‚è [0.00]_!!!GO" xfId="3522" xr:uid="{00000000-0005-0000-0000-0000BF0D0000}"/>
    <cellStyle name="Œ…‹æØ‚è_!!!GO" xfId="3523" xr:uid="{00000000-0005-0000-0000-0000C00D0000}"/>
    <cellStyle name="OSW_ColumnLabels" xfId="3524" xr:uid="{00000000-0005-0000-0000-0000C10D0000}"/>
    <cellStyle name="outh America" xfId="3525" xr:uid="{00000000-0005-0000-0000-0000C20D0000}"/>
    <cellStyle name="Output" xfId="15" builtinId="21" customBuiltin="1"/>
    <cellStyle name="output 2" xfId="3526" xr:uid="{00000000-0005-0000-0000-0000C40D0000}"/>
    <cellStyle name="output 3" xfId="3527" xr:uid="{00000000-0005-0000-0000-0000C50D0000}"/>
    <cellStyle name="Output Amounts" xfId="3528" xr:uid="{00000000-0005-0000-0000-0000C60D0000}"/>
    <cellStyle name="Output Column Headings" xfId="3529" xr:uid="{00000000-0005-0000-0000-0000C70D0000}"/>
    <cellStyle name="Output Line Items" xfId="3530" xr:uid="{00000000-0005-0000-0000-0000C80D0000}"/>
    <cellStyle name="Output Percent" xfId="3531" xr:uid="{00000000-0005-0000-0000-0000C90D0000}"/>
    <cellStyle name="Output Percent (0)" xfId="3532" xr:uid="{00000000-0005-0000-0000-0000CA0D0000}"/>
    <cellStyle name="Output Percent_Data" xfId="3533" xr:uid="{00000000-0005-0000-0000-0000CB0D0000}"/>
    <cellStyle name="Output Report Heading" xfId="3534" xr:uid="{00000000-0005-0000-0000-0000CC0D0000}"/>
    <cellStyle name="Output Report Title" xfId="3535" xr:uid="{00000000-0005-0000-0000-0000CD0D0000}"/>
    <cellStyle name="P1" xfId="3536" xr:uid="{00000000-0005-0000-0000-0000CE0D0000}"/>
    <cellStyle name="P2" xfId="3537" xr:uid="{00000000-0005-0000-0000-0000CF0D0000}"/>
    <cellStyle name="Page 1" xfId="3538" xr:uid="{00000000-0005-0000-0000-0000D00D0000}"/>
    <cellStyle name="Page 2" xfId="3539" xr:uid="{00000000-0005-0000-0000-0000D10D0000}"/>
    <cellStyle name="Page 3" xfId="3540" xr:uid="{00000000-0005-0000-0000-0000D20D0000}"/>
    <cellStyle name="Page 4" xfId="3541" xr:uid="{00000000-0005-0000-0000-0000D30D0000}"/>
    <cellStyle name="Page 5" xfId="3542" xr:uid="{00000000-0005-0000-0000-0000D40D0000}"/>
    <cellStyle name="Page 6" xfId="3543" xr:uid="{00000000-0005-0000-0000-0000D50D0000}"/>
    <cellStyle name="Page 7" xfId="3544" xr:uid="{00000000-0005-0000-0000-0000D60D0000}"/>
    <cellStyle name="Page Heading Large" xfId="3545" xr:uid="{00000000-0005-0000-0000-0000D70D0000}"/>
    <cellStyle name="Page Heading Small" xfId="3546" xr:uid="{00000000-0005-0000-0000-0000D80D0000}"/>
    <cellStyle name="Page Number" xfId="3547" xr:uid="{00000000-0005-0000-0000-0000D90D0000}"/>
    <cellStyle name="Page Title" xfId="3548" xr:uid="{00000000-0005-0000-0000-0000DA0D0000}"/>
    <cellStyle name="Page1" xfId="3549" xr:uid="{00000000-0005-0000-0000-0000DB0D0000}"/>
    <cellStyle name="Page2" xfId="3550" xr:uid="{00000000-0005-0000-0000-0000DC0D0000}"/>
    <cellStyle name="Page3" xfId="3551" xr:uid="{00000000-0005-0000-0000-0000DD0D0000}"/>
    <cellStyle name="Page4" xfId="3552" xr:uid="{00000000-0005-0000-0000-0000DE0D0000}"/>
    <cellStyle name="Page5" xfId="3553" xr:uid="{00000000-0005-0000-0000-0000DF0D0000}"/>
    <cellStyle name="Page6" xfId="3554" xr:uid="{00000000-0005-0000-0000-0000E00D0000}"/>
    <cellStyle name="pc1" xfId="3555" xr:uid="{00000000-0005-0000-0000-0000E10D0000}"/>
    <cellStyle name="Pec (2dec,fs)" xfId="3556" xr:uid="{00000000-0005-0000-0000-0000E20D0000}"/>
    <cellStyle name="per.style" xfId="3557" xr:uid="{00000000-0005-0000-0000-0000E30D0000}"/>
    <cellStyle name="Percen - Style1" xfId="3558" xr:uid="{00000000-0005-0000-0000-0000E40D0000}"/>
    <cellStyle name="Percent %" xfId="3559" xr:uid="{00000000-0005-0000-0000-0000E50D0000}"/>
    <cellStyle name="Percent % Long Underline" xfId="3560" xr:uid="{00000000-0005-0000-0000-0000E60D0000}"/>
    <cellStyle name="Percent ()" xfId="3561" xr:uid="{00000000-0005-0000-0000-0000E70D0000}"/>
    <cellStyle name="Percent (0)" xfId="3562" xr:uid="{00000000-0005-0000-0000-0000E80D0000}"/>
    <cellStyle name="Percent (0.0)" xfId="3563" xr:uid="{00000000-0005-0000-0000-0000E90D0000}"/>
    <cellStyle name="Percent (1)" xfId="3564" xr:uid="{00000000-0005-0000-0000-0000EA0D0000}"/>
    <cellStyle name="Percent (2)" xfId="3565" xr:uid="{00000000-0005-0000-0000-0000EB0D0000}"/>
    <cellStyle name="Percent [0]" xfId="3566" xr:uid="{00000000-0005-0000-0000-0000EC0D0000}"/>
    <cellStyle name="Percent [0] 2" xfId="3567" xr:uid="{00000000-0005-0000-0000-0000ED0D0000}"/>
    <cellStyle name="Percent [0] 3" xfId="3568" xr:uid="{00000000-0005-0000-0000-0000EE0D0000}"/>
    <cellStyle name="Percent [00]" xfId="3569" xr:uid="{00000000-0005-0000-0000-0000EF0D0000}"/>
    <cellStyle name="Percent [1]" xfId="3570" xr:uid="{00000000-0005-0000-0000-0000F00D0000}"/>
    <cellStyle name="Percent [1] --" xfId="3571" xr:uid="{00000000-0005-0000-0000-0000F10D0000}"/>
    <cellStyle name="Percent [1] 2" xfId="3572" xr:uid="{00000000-0005-0000-0000-0000F20D0000}"/>
    <cellStyle name="Percent [1]_~6435875" xfId="3573" xr:uid="{00000000-0005-0000-0000-0000F30D0000}"/>
    <cellStyle name="Percent [2]" xfId="3574" xr:uid="{00000000-0005-0000-0000-0000F40D0000}"/>
    <cellStyle name="Percent [2] 2" xfId="3575" xr:uid="{00000000-0005-0000-0000-0000F50D0000}"/>
    <cellStyle name="Percent [2] 3" xfId="3576" xr:uid="{00000000-0005-0000-0000-0000F60D0000}"/>
    <cellStyle name="Percent [4]" xfId="3577" xr:uid="{00000000-0005-0000-0000-0000F70D0000}"/>
    <cellStyle name="Percent [4] 2" xfId="3578" xr:uid="{00000000-0005-0000-0000-0000F80D0000}"/>
    <cellStyle name="Percent 10" xfId="3579" xr:uid="{00000000-0005-0000-0000-0000F90D0000}"/>
    <cellStyle name="Percent 11" xfId="3580" xr:uid="{00000000-0005-0000-0000-0000FA0D0000}"/>
    <cellStyle name="Percent 12" xfId="3581" xr:uid="{00000000-0005-0000-0000-0000FB0D0000}"/>
    <cellStyle name="Percent 13" xfId="3582" xr:uid="{00000000-0005-0000-0000-0000FC0D0000}"/>
    <cellStyle name="Percent 14" xfId="3583" xr:uid="{00000000-0005-0000-0000-0000FD0D0000}"/>
    <cellStyle name="Percent 15" xfId="3584" xr:uid="{00000000-0005-0000-0000-0000FE0D0000}"/>
    <cellStyle name="Percent 16" xfId="3585" xr:uid="{00000000-0005-0000-0000-0000FF0D0000}"/>
    <cellStyle name="Percent 17" xfId="3586" xr:uid="{00000000-0005-0000-0000-0000000E0000}"/>
    <cellStyle name="Percent 18" xfId="3587" xr:uid="{00000000-0005-0000-0000-0000010E0000}"/>
    <cellStyle name="Percent 19" xfId="3588" xr:uid="{00000000-0005-0000-0000-0000020E0000}"/>
    <cellStyle name="Percent 2" xfId="3589" xr:uid="{00000000-0005-0000-0000-0000030E0000}"/>
    <cellStyle name="Percent 2 2" xfId="3590" xr:uid="{00000000-0005-0000-0000-0000040E0000}"/>
    <cellStyle name="Percent 2 2 2" xfId="3591" xr:uid="{00000000-0005-0000-0000-0000050E0000}"/>
    <cellStyle name="Percent 2 3" xfId="3592" xr:uid="{00000000-0005-0000-0000-0000060E0000}"/>
    <cellStyle name="Percent 20" xfId="3593" xr:uid="{00000000-0005-0000-0000-0000070E0000}"/>
    <cellStyle name="Percent 21" xfId="3594" xr:uid="{00000000-0005-0000-0000-0000080E0000}"/>
    <cellStyle name="Percent 22" xfId="3595" xr:uid="{00000000-0005-0000-0000-0000090E0000}"/>
    <cellStyle name="Percent 23" xfId="3596" xr:uid="{00000000-0005-0000-0000-00000A0E0000}"/>
    <cellStyle name="Percent 24" xfId="3597" xr:uid="{00000000-0005-0000-0000-00000B0E0000}"/>
    <cellStyle name="Percent 25" xfId="3598" xr:uid="{00000000-0005-0000-0000-00000C0E0000}"/>
    <cellStyle name="Percent 26" xfId="3599" xr:uid="{00000000-0005-0000-0000-00000D0E0000}"/>
    <cellStyle name="Percent 27" xfId="3600" xr:uid="{00000000-0005-0000-0000-00000E0E0000}"/>
    <cellStyle name="Percent 28" xfId="3601" xr:uid="{00000000-0005-0000-0000-00000F0E0000}"/>
    <cellStyle name="Percent 29" xfId="3602" xr:uid="{00000000-0005-0000-0000-0000100E0000}"/>
    <cellStyle name="Percent 3" xfId="3603" xr:uid="{00000000-0005-0000-0000-0000110E0000}"/>
    <cellStyle name="Percent 3 2" xfId="3604" xr:uid="{00000000-0005-0000-0000-0000120E0000}"/>
    <cellStyle name="Percent 3 2 2" xfId="3605" xr:uid="{00000000-0005-0000-0000-0000130E0000}"/>
    <cellStyle name="Percent 3 2 3" xfId="3606" xr:uid="{00000000-0005-0000-0000-0000140E0000}"/>
    <cellStyle name="Percent 3 2 4" xfId="3607" xr:uid="{00000000-0005-0000-0000-0000150E0000}"/>
    <cellStyle name="Percent 3 3" xfId="3608" xr:uid="{00000000-0005-0000-0000-0000160E0000}"/>
    <cellStyle name="Percent 3 4" xfId="3609" xr:uid="{00000000-0005-0000-0000-0000170E0000}"/>
    <cellStyle name="Percent 3 5" xfId="3610" xr:uid="{00000000-0005-0000-0000-0000180E0000}"/>
    <cellStyle name="Percent 30" xfId="3611" xr:uid="{00000000-0005-0000-0000-0000190E0000}"/>
    <cellStyle name="Percent 31" xfId="3612" xr:uid="{00000000-0005-0000-0000-00001A0E0000}"/>
    <cellStyle name="Percent 32" xfId="3613" xr:uid="{00000000-0005-0000-0000-00001B0E0000}"/>
    <cellStyle name="Percent 33" xfId="3614" xr:uid="{00000000-0005-0000-0000-00001C0E0000}"/>
    <cellStyle name="Percent 34" xfId="3615" xr:uid="{00000000-0005-0000-0000-00001D0E0000}"/>
    <cellStyle name="Percent 35" xfId="3616" xr:uid="{00000000-0005-0000-0000-00001E0E0000}"/>
    <cellStyle name="Percent 36" xfId="3617" xr:uid="{00000000-0005-0000-0000-00001F0E0000}"/>
    <cellStyle name="Percent 37" xfId="3618" xr:uid="{00000000-0005-0000-0000-0000200E0000}"/>
    <cellStyle name="Percent 38" xfId="3619" xr:uid="{00000000-0005-0000-0000-0000210E0000}"/>
    <cellStyle name="Percent 39" xfId="3620" xr:uid="{00000000-0005-0000-0000-0000220E0000}"/>
    <cellStyle name="Percent 4" xfId="3621" xr:uid="{00000000-0005-0000-0000-0000230E0000}"/>
    <cellStyle name="Percent 4 2" xfId="3622" xr:uid="{00000000-0005-0000-0000-0000240E0000}"/>
    <cellStyle name="Percent 4 3" xfId="3623" xr:uid="{00000000-0005-0000-0000-0000250E0000}"/>
    <cellStyle name="Percent 40" xfId="3624" xr:uid="{00000000-0005-0000-0000-0000260E0000}"/>
    <cellStyle name="Percent 41" xfId="3625" xr:uid="{00000000-0005-0000-0000-0000270E0000}"/>
    <cellStyle name="Percent 42" xfId="3626" xr:uid="{00000000-0005-0000-0000-0000280E0000}"/>
    <cellStyle name="Percent 43" xfId="3627" xr:uid="{00000000-0005-0000-0000-0000290E0000}"/>
    <cellStyle name="Percent 44" xfId="3628" xr:uid="{00000000-0005-0000-0000-00002A0E0000}"/>
    <cellStyle name="Percent 45" xfId="3629" xr:uid="{00000000-0005-0000-0000-00002B0E0000}"/>
    <cellStyle name="Percent 46" xfId="3630" xr:uid="{00000000-0005-0000-0000-00002C0E0000}"/>
    <cellStyle name="Percent 47" xfId="3631" xr:uid="{00000000-0005-0000-0000-00002D0E0000}"/>
    <cellStyle name="Percent 48" xfId="3632" xr:uid="{00000000-0005-0000-0000-00002E0E0000}"/>
    <cellStyle name="Percent 49" xfId="3633" xr:uid="{00000000-0005-0000-0000-00002F0E0000}"/>
    <cellStyle name="Percent 5" xfId="3634" xr:uid="{00000000-0005-0000-0000-0000300E0000}"/>
    <cellStyle name="Percent 50" xfId="3635" xr:uid="{00000000-0005-0000-0000-0000310E0000}"/>
    <cellStyle name="Percent 51" xfId="3636" xr:uid="{00000000-0005-0000-0000-0000320E0000}"/>
    <cellStyle name="Percent 52" xfId="3637" xr:uid="{00000000-0005-0000-0000-0000330E0000}"/>
    <cellStyle name="Percent 53" xfId="3638" xr:uid="{00000000-0005-0000-0000-0000340E0000}"/>
    <cellStyle name="Percent 54" xfId="3639" xr:uid="{00000000-0005-0000-0000-0000350E0000}"/>
    <cellStyle name="Percent 55" xfId="3640" xr:uid="{00000000-0005-0000-0000-0000360E0000}"/>
    <cellStyle name="Percent 56" xfId="3641" xr:uid="{00000000-0005-0000-0000-0000370E0000}"/>
    <cellStyle name="Percent 57" xfId="3642" xr:uid="{00000000-0005-0000-0000-0000380E0000}"/>
    <cellStyle name="Percent 58" xfId="3643" xr:uid="{00000000-0005-0000-0000-0000390E0000}"/>
    <cellStyle name="Percent 59" xfId="3644" xr:uid="{00000000-0005-0000-0000-00003A0E0000}"/>
    <cellStyle name="Percent 6" xfId="3645" xr:uid="{00000000-0005-0000-0000-00003B0E0000}"/>
    <cellStyle name="Percent 60" xfId="3646" xr:uid="{00000000-0005-0000-0000-00003C0E0000}"/>
    <cellStyle name="Percent 61" xfId="3647" xr:uid="{00000000-0005-0000-0000-00003D0E0000}"/>
    <cellStyle name="Percent 62" xfId="3648" xr:uid="{00000000-0005-0000-0000-00003E0E0000}"/>
    <cellStyle name="Percent 63" xfId="3649" xr:uid="{00000000-0005-0000-0000-00003F0E0000}"/>
    <cellStyle name="Percent 64" xfId="3650" xr:uid="{00000000-0005-0000-0000-0000400E0000}"/>
    <cellStyle name="Percent 65" xfId="3651" xr:uid="{00000000-0005-0000-0000-0000410E0000}"/>
    <cellStyle name="Percent 66" xfId="3652" xr:uid="{00000000-0005-0000-0000-0000420E0000}"/>
    <cellStyle name="Percent 67" xfId="3653" xr:uid="{00000000-0005-0000-0000-0000430E0000}"/>
    <cellStyle name="Percent 68" xfId="3654" xr:uid="{00000000-0005-0000-0000-0000440E0000}"/>
    <cellStyle name="Percent 7" xfId="3655" xr:uid="{00000000-0005-0000-0000-0000450E0000}"/>
    <cellStyle name="Percent 8" xfId="3656" xr:uid="{00000000-0005-0000-0000-0000460E0000}"/>
    <cellStyle name="Percent 9" xfId="3657" xr:uid="{00000000-0005-0000-0000-0000470E0000}"/>
    <cellStyle name="Percent Hard" xfId="3658" xr:uid="{00000000-0005-0000-0000-0000480E0000}"/>
    <cellStyle name="Percent([1])" xfId="3659" xr:uid="{00000000-0005-0000-0000-0000490E0000}"/>
    <cellStyle name="Percent([1]) 2" xfId="3660" xr:uid="{00000000-0005-0000-0000-00004A0E0000}"/>
    <cellStyle name="Percent([1]) 3" xfId="3661" xr:uid="{00000000-0005-0000-0000-00004B0E0000}"/>
    <cellStyle name="Percent1" xfId="3662" xr:uid="{00000000-0005-0000-0000-00004C0E0000}"/>
    <cellStyle name="Percent2" xfId="3663" xr:uid="{00000000-0005-0000-0000-00004D0E0000}"/>
    <cellStyle name="Percent2 2" xfId="3664" xr:uid="{00000000-0005-0000-0000-00004E0E0000}"/>
    <cellStyle name="Percent2 3" xfId="3665" xr:uid="{00000000-0005-0000-0000-00004F0E0000}"/>
    <cellStyle name="percentage" xfId="3666" xr:uid="{00000000-0005-0000-0000-0000500E0000}"/>
    <cellStyle name="Population Info" xfId="3667" xr:uid="{00000000-0005-0000-0000-0000510E0000}"/>
    <cellStyle name="prin2" xfId="3668" xr:uid="{00000000-0005-0000-0000-0000520E0000}"/>
    <cellStyle name="PrintDate" xfId="3669" xr:uid="{00000000-0005-0000-0000-0000530E0000}"/>
    <cellStyle name="Protect" xfId="3670" xr:uid="{00000000-0005-0000-0000-0000540E0000}"/>
    <cellStyle name="PSChar" xfId="3671" xr:uid="{00000000-0005-0000-0000-0000550E0000}"/>
    <cellStyle name="PSDate" xfId="3672" xr:uid="{00000000-0005-0000-0000-0000560E0000}"/>
    <cellStyle name="PSDec" xfId="3673" xr:uid="{00000000-0005-0000-0000-0000570E0000}"/>
    <cellStyle name="PSHeading" xfId="3674" xr:uid="{00000000-0005-0000-0000-0000580E0000}"/>
    <cellStyle name="PSInt" xfId="3675" xr:uid="{00000000-0005-0000-0000-0000590E0000}"/>
    <cellStyle name="PSSpacer" xfId="3676" xr:uid="{00000000-0005-0000-0000-00005A0E0000}"/>
    <cellStyle name="r" xfId="3677" xr:uid="{00000000-0005-0000-0000-00005B0E0000}"/>
    <cellStyle name="r_ALLOWANCES" xfId="3678" xr:uid="{00000000-0005-0000-0000-00005C0E0000}"/>
    <cellStyle name="r_ALLOWANCES 2" xfId="3679" xr:uid="{00000000-0005-0000-0000-00005D0E0000}"/>
    <cellStyle name="r_CREDIT BY PRODUCT AND LOB" xfId="3680" xr:uid="{00000000-0005-0000-0000-00005E0E0000}"/>
    <cellStyle name="r_CREDIT BY PRODUCT AND LOB 2" xfId="3681" xr:uid="{00000000-0005-0000-0000-00005F0E0000}"/>
    <cellStyle name="r_GLOSSARY" xfId="3682" xr:uid="{00000000-0005-0000-0000-0000600E0000}"/>
    <cellStyle name="r_GLOSSARY 2" xfId="3683" xr:uid="{00000000-0005-0000-0000-0000610E0000}"/>
    <cellStyle name="r_NPAS" xfId="3684" xr:uid="{00000000-0005-0000-0000-0000620E0000}"/>
    <cellStyle name="r_NPAS 2" xfId="3685" xr:uid="{00000000-0005-0000-0000-0000630E0000}"/>
    <cellStyle name="r_RETAIL METRICS" xfId="3686" xr:uid="{00000000-0005-0000-0000-0000640E0000}"/>
    <cellStyle name="r_RETAIL METRICS 2" xfId="3687" xr:uid="{00000000-0005-0000-0000-0000650E0000}"/>
    <cellStyle name="RangeName" xfId="3688" xr:uid="{00000000-0005-0000-0000-0000660E0000}"/>
    <cellStyle name="Red Font" xfId="3689" xr:uid="{00000000-0005-0000-0000-0000670E0000}"/>
    <cellStyle name="regstoresfromspecstores" xfId="3690" xr:uid="{00000000-0005-0000-0000-0000680E0000}"/>
    <cellStyle name="ReportFieldNames" xfId="3691" xr:uid="{00000000-0005-0000-0000-0000690E0000}"/>
    <cellStyle name="ReportFieldNames 2" xfId="3692" xr:uid="{00000000-0005-0000-0000-00006A0E0000}"/>
    <cellStyle name="RevList" xfId="3693" xr:uid="{00000000-0005-0000-0000-00006B0E0000}"/>
    <cellStyle name="Right" xfId="3694" xr:uid="{00000000-0005-0000-0000-00006C0E0000}"/>
    <cellStyle name="Rollup" xfId="3695" xr:uid="{00000000-0005-0000-0000-00006D0E0000}"/>
    <cellStyle name="Rollup 2" xfId="3696" xr:uid="{00000000-0005-0000-0000-00006E0E0000}"/>
    <cellStyle name="Rollup 3" xfId="3697" xr:uid="{00000000-0005-0000-0000-00006F0E0000}"/>
    <cellStyle name="RoundingPrecision" xfId="3698" xr:uid="{00000000-0005-0000-0000-0000700E0000}"/>
    <cellStyle name="RowLevelOneDataEvenStyle" xfId="3699" xr:uid="{00000000-0005-0000-0000-0000710E0000}"/>
    <cellStyle name="RowLevelOneDataOddStyle" xfId="3700" xr:uid="{00000000-0005-0000-0000-0000720E0000}"/>
    <cellStyle name="SecBody2" xfId="3701" xr:uid="{00000000-0005-0000-0000-0000730E0000}"/>
    <cellStyle name="SecBody2 2" xfId="3702" xr:uid="{00000000-0005-0000-0000-0000740E0000}"/>
    <cellStyle name="SecBody2 2 2" xfId="3703" xr:uid="{00000000-0005-0000-0000-0000750E0000}"/>
    <cellStyle name="SecBody2 2 3" xfId="3704" xr:uid="{00000000-0005-0000-0000-0000760E0000}"/>
    <cellStyle name="SecBody2 2 4" xfId="3705" xr:uid="{00000000-0005-0000-0000-0000770E0000}"/>
    <cellStyle name="SecBody2 2 5" xfId="3706" xr:uid="{00000000-0005-0000-0000-0000780E0000}"/>
    <cellStyle name="SecBody2 3" xfId="3707" xr:uid="{00000000-0005-0000-0000-0000790E0000}"/>
    <cellStyle name="SecBody2 4" xfId="3708" xr:uid="{00000000-0005-0000-0000-00007A0E0000}"/>
    <cellStyle name="SecBody2 5" xfId="3709" xr:uid="{00000000-0005-0000-0000-00007B0E0000}"/>
    <cellStyle name="SecBody2 6" xfId="3710" xr:uid="{00000000-0005-0000-0000-00007C0E0000}"/>
    <cellStyle name="SecHead2" xfId="3711" xr:uid="{00000000-0005-0000-0000-00007D0E0000}"/>
    <cellStyle name="SecHead2 2" xfId="3712" xr:uid="{00000000-0005-0000-0000-00007E0E0000}"/>
    <cellStyle name="SelectFormat" xfId="3713" xr:uid="{00000000-0005-0000-0000-00007F0E0000}"/>
    <cellStyle name="SelectFormat 2" xfId="3714" xr:uid="{00000000-0005-0000-0000-0000800E0000}"/>
    <cellStyle name="SelectFormat 2 2" xfId="3715" xr:uid="{00000000-0005-0000-0000-0000810E0000}"/>
    <cellStyle name="SelectFormat 2 3" xfId="3716" xr:uid="{00000000-0005-0000-0000-0000820E0000}"/>
    <cellStyle name="SelectFormat 3" xfId="3717" xr:uid="{00000000-0005-0000-0000-0000830E0000}"/>
    <cellStyle name="SelectFormat 3 2" xfId="3718" xr:uid="{00000000-0005-0000-0000-0000840E0000}"/>
    <cellStyle name="SelectFormat 3 3" xfId="3719" xr:uid="{00000000-0005-0000-0000-0000850E0000}"/>
    <cellStyle name="SelectFormat 4" xfId="3720" xr:uid="{00000000-0005-0000-0000-0000860E0000}"/>
    <cellStyle name="SelectFormat 5" xfId="3721" xr:uid="{00000000-0005-0000-0000-0000870E0000}"/>
    <cellStyle name="Shaded" xfId="3722" xr:uid="{00000000-0005-0000-0000-0000880E0000}"/>
    <cellStyle name="SHADEDSTORES" xfId="3723" xr:uid="{00000000-0005-0000-0000-0000890E0000}"/>
    <cellStyle name="SHADEDSTORES 2" xfId="3724" xr:uid="{00000000-0005-0000-0000-00008A0E0000}"/>
    <cellStyle name="SHADEDSTORES 3" xfId="3725" xr:uid="{00000000-0005-0000-0000-00008B0E0000}"/>
    <cellStyle name="Shading" xfId="3726" xr:uid="{00000000-0005-0000-0000-00008C0E0000}"/>
    <cellStyle name="SHEET2!Normal" xfId="3727" xr:uid="{00000000-0005-0000-0000-00008D0E0000}"/>
    <cellStyle name="SHEET2!Normal 2" xfId="3728" xr:uid="{00000000-0005-0000-0000-00008E0E0000}"/>
    <cellStyle name="SHEET2!Normal 3" xfId="3729" xr:uid="{00000000-0005-0000-0000-00008F0E0000}"/>
    <cellStyle name="Shell" xfId="3730" xr:uid="{00000000-0005-0000-0000-0000900E0000}"/>
    <cellStyle name="specstores" xfId="3731" xr:uid="{00000000-0005-0000-0000-0000910E0000}"/>
    <cellStyle name="src_1" xfId="3732" xr:uid="{00000000-0005-0000-0000-0000920E0000}"/>
    <cellStyle name="Std Date" xfId="3733" xr:uid="{00000000-0005-0000-0000-0000930E0000}"/>
    <cellStyle name="Style 1" xfId="3734" xr:uid="{00000000-0005-0000-0000-0000940E0000}"/>
    <cellStyle name="Style 1 2" xfId="3735" xr:uid="{00000000-0005-0000-0000-0000950E0000}"/>
    <cellStyle name="Style 10" xfId="3736" xr:uid="{00000000-0005-0000-0000-0000960E0000}"/>
    <cellStyle name="Style 11" xfId="3737" xr:uid="{00000000-0005-0000-0000-0000970E0000}"/>
    <cellStyle name="Style 12" xfId="3738" xr:uid="{00000000-0005-0000-0000-0000980E0000}"/>
    <cellStyle name="Style 13" xfId="3739" xr:uid="{00000000-0005-0000-0000-0000990E0000}"/>
    <cellStyle name="Style 14" xfId="3740" xr:uid="{00000000-0005-0000-0000-00009A0E0000}"/>
    <cellStyle name="Style 15" xfId="3741" xr:uid="{00000000-0005-0000-0000-00009B0E0000}"/>
    <cellStyle name="Style 16" xfId="3742" xr:uid="{00000000-0005-0000-0000-00009C0E0000}"/>
    <cellStyle name="Style 17" xfId="3743" xr:uid="{00000000-0005-0000-0000-00009D0E0000}"/>
    <cellStyle name="Style 18" xfId="3744" xr:uid="{00000000-0005-0000-0000-00009E0E0000}"/>
    <cellStyle name="Style 19" xfId="3745" xr:uid="{00000000-0005-0000-0000-00009F0E0000}"/>
    <cellStyle name="Style 2" xfId="3746" xr:uid="{00000000-0005-0000-0000-0000A00E0000}"/>
    <cellStyle name="Style 20" xfId="3747" xr:uid="{00000000-0005-0000-0000-0000A10E0000}"/>
    <cellStyle name="Style 21" xfId="3748" xr:uid="{00000000-0005-0000-0000-0000A20E0000}"/>
    <cellStyle name="Style 21 2" xfId="3749" xr:uid="{00000000-0005-0000-0000-0000A30E0000}"/>
    <cellStyle name="Style 22" xfId="3750" xr:uid="{00000000-0005-0000-0000-0000A40E0000}"/>
    <cellStyle name="Style 22 2" xfId="3751" xr:uid="{00000000-0005-0000-0000-0000A50E0000}"/>
    <cellStyle name="Style 23" xfId="3752" xr:uid="{00000000-0005-0000-0000-0000A60E0000}"/>
    <cellStyle name="Style 24" xfId="3753" xr:uid="{00000000-0005-0000-0000-0000A70E0000}"/>
    <cellStyle name="Style 25" xfId="3754" xr:uid="{00000000-0005-0000-0000-0000A80E0000}"/>
    <cellStyle name="Style 26" xfId="3755" xr:uid="{00000000-0005-0000-0000-0000A90E0000}"/>
    <cellStyle name="Style 27" xfId="3756" xr:uid="{00000000-0005-0000-0000-0000AA0E0000}"/>
    <cellStyle name="Style 28" xfId="3757" xr:uid="{00000000-0005-0000-0000-0000AB0E0000}"/>
    <cellStyle name="Style 29" xfId="3758" xr:uid="{00000000-0005-0000-0000-0000AC0E0000}"/>
    <cellStyle name="Style 3" xfId="3759" xr:uid="{00000000-0005-0000-0000-0000AD0E0000}"/>
    <cellStyle name="Style 30" xfId="3760" xr:uid="{00000000-0005-0000-0000-0000AE0E0000}"/>
    <cellStyle name="Style 31" xfId="3761" xr:uid="{00000000-0005-0000-0000-0000AF0E0000}"/>
    <cellStyle name="Style 32" xfId="3762" xr:uid="{00000000-0005-0000-0000-0000B00E0000}"/>
    <cellStyle name="Style 33" xfId="3763" xr:uid="{00000000-0005-0000-0000-0000B10E0000}"/>
    <cellStyle name="Style 34" xfId="3764" xr:uid="{00000000-0005-0000-0000-0000B20E0000}"/>
    <cellStyle name="Style 35" xfId="3765" xr:uid="{00000000-0005-0000-0000-0000B30E0000}"/>
    <cellStyle name="Style 36" xfId="3766" xr:uid="{00000000-0005-0000-0000-0000B40E0000}"/>
    <cellStyle name="Style 37" xfId="3767" xr:uid="{00000000-0005-0000-0000-0000B50E0000}"/>
    <cellStyle name="Style 38" xfId="3768" xr:uid="{00000000-0005-0000-0000-0000B60E0000}"/>
    <cellStyle name="Style 39" xfId="3769" xr:uid="{00000000-0005-0000-0000-0000B70E0000}"/>
    <cellStyle name="Style 4" xfId="3770" xr:uid="{00000000-0005-0000-0000-0000B80E0000}"/>
    <cellStyle name="Style 40" xfId="3771" xr:uid="{00000000-0005-0000-0000-0000B90E0000}"/>
    <cellStyle name="Style 41" xfId="3772" xr:uid="{00000000-0005-0000-0000-0000BA0E0000}"/>
    <cellStyle name="Style 42" xfId="3773" xr:uid="{00000000-0005-0000-0000-0000BB0E0000}"/>
    <cellStyle name="Style 43" xfId="3774" xr:uid="{00000000-0005-0000-0000-0000BC0E0000}"/>
    <cellStyle name="Style 44" xfId="3775" xr:uid="{00000000-0005-0000-0000-0000BD0E0000}"/>
    <cellStyle name="Style 45" xfId="3776" xr:uid="{00000000-0005-0000-0000-0000BE0E0000}"/>
    <cellStyle name="Style 46" xfId="3777" xr:uid="{00000000-0005-0000-0000-0000BF0E0000}"/>
    <cellStyle name="Style 47" xfId="3778" xr:uid="{00000000-0005-0000-0000-0000C00E0000}"/>
    <cellStyle name="Style 48" xfId="3779" xr:uid="{00000000-0005-0000-0000-0000C10E0000}"/>
    <cellStyle name="Style 49" xfId="3780" xr:uid="{00000000-0005-0000-0000-0000C20E0000}"/>
    <cellStyle name="Style 5" xfId="3781" xr:uid="{00000000-0005-0000-0000-0000C30E0000}"/>
    <cellStyle name="Style 50" xfId="3782" xr:uid="{00000000-0005-0000-0000-0000C40E0000}"/>
    <cellStyle name="Style 51" xfId="3783" xr:uid="{00000000-0005-0000-0000-0000C50E0000}"/>
    <cellStyle name="Style 52" xfId="3784" xr:uid="{00000000-0005-0000-0000-0000C60E0000}"/>
    <cellStyle name="Style 53" xfId="3785" xr:uid="{00000000-0005-0000-0000-0000C70E0000}"/>
    <cellStyle name="Style 54" xfId="3786" xr:uid="{00000000-0005-0000-0000-0000C80E0000}"/>
    <cellStyle name="Style 55" xfId="3787" xr:uid="{00000000-0005-0000-0000-0000C90E0000}"/>
    <cellStyle name="Style 56" xfId="3788" xr:uid="{00000000-0005-0000-0000-0000CA0E0000}"/>
    <cellStyle name="Style 57" xfId="3789" xr:uid="{00000000-0005-0000-0000-0000CB0E0000}"/>
    <cellStyle name="Style 58" xfId="3790" xr:uid="{00000000-0005-0000-0000-0000CC0E0000}"/>
    <cellStyle name="Style 59" xfId="3791" xr:uid="{00000000-0005-0000-0000-0000CD0E0000}"/>
    <cellStyle name="Style 6" xfId="3792" xr:uid="{00000000-0005-0000-0000-0000CE0E0000}"/>
    <cellStyle name="Style 60" xfId="3793" xr:uid="{00000000-0005-0000-0000-0000CF0E0000}"/>
    <cellStyle name="Style 61" xfId="3794" xr:uid="{00000000-0005-0000-0000-0000D00E0000}"/>
    <cellStyle name="Style 7" xfId="3795" xr:uid="{00000000-0005-0000-0000-0000D10E0000}"/>
    <cellStyle name="Style 8" xfId="3796" xr:uid="{00000000-0005-0000-0000-0000D20E0000}"/>
    <cellStyle name="Style 9" xfId="3797" xr:uid="{00000000-0005-0000-0000-0000D30E0000}"/>
    <cellStyle name="STYLE_CenterNumber" xfId="3798" xr:uid="{00000000-0005-0000-0000-0000D40E0000}"/>
    <cellStyle name="STYLE2" xfId="3799" xr:uid="{00000000-0005-0000-0000-0000D50E0000}"/>
    <cellStyle name="SubHead1" xfId="3800" xr:uid="{00000000-0005-0000-0000-0000D60E0000}"/>
    <cellStyle name="SubHead1 2" xfId="3801" xr:uid="{00000000-0005-0000-0000-0000D70E0000}"/>
    <cellStyle name="SubTitle" xfId="3802" xr:uid="{00000000-0005-0000-0000-0000D80E0000}"/>
    <cellStyle name="SubTotal" xfId="3803" xr:uid="{00000000-0005-0000-0000-0000D90E0000}"/>
    <cellStyle name="SubTotal 2" xfId="3804" xr:uid="{00000000-0005-0000-0000-0000DA0E0000}"/>
    <cellStyle name="SubTotal 2 2" xfId="3805" xr:uid="{00000000-0005-0000-0000-0000DB0E0000}"/>
    <cellStyle name="SubTotal 2 3" xfId="3806" xr:uid="{00000000-0005-0000-0000-0000DC0E0000}"/>
    <cellStyle name="SubTotal 3" xfId="3807" xr:uid="{00000000-0005-0000-0000-0000DD0E0000}"/>
    <cellStyle name="SubTotal 3 2" xfId="3808" xr:uid="{00000000-0005-0000-0000-0000DE0E0000}"/>
    <cellStyle name="SubTotal 3 3" xfId="3809" xr:uid="{00000000-0005-0000-0000-0000DF0E0000}"/>
    <cellStyle name="SubTotal 4" xfId="3810" xr:uid="{00000000-0005-0000-0000-0000E00E0000}"/>
    <cellStyle name="SubTotal 5" xfId="3811" xr:uid="{00000000-0005-0000-0000-0000E10E0000}"/>
    <cellStyle name="Subtotal1" xfId="3812" xr:uid="{00000000-0005-0000-0000-0000E20E0000}"/>
    <cellStyle name="Subtotal1 2" xfId="3813" xr:uid="{00000000-0005-0000-0000-0000E30E0000}"/>
    <cellStyle name="Subtotal1 3" xfId="3814" xr:uid="{00000000-0005-0000-0000-0000E40E0000}"/>
    <cellStyle name="Subtotals1" xfId="3815" xr:uid="{00000000-0005-0000-0000-0000E50E0000}"/>
    <cellStyle name="Subtotals1 2" xfId="3816" xr:uid="{00000000-0005-0000-0000-0000E60E0000}"/>
    <cellStyle name="Subtotals1 2 2" xfId="3817" xr:uid="{00000000-0005-0000-0000-0000E70E0000}"/>
    <cellStyle name="Subtotals1 2 3" xfId="3818" xr:uid="{00000000-0005-0000-0000-0000E80E0000}"/>
    <cellStyle name="Subtotals1 2 4" xfId="3819" xr:uid="{00000000-0005-0000-0000-0000E90E0000}"/>
    <cellStyle name="Subtotals1 2 5" xfId="3820" xr:uid="{00000000-0005-0000-0000-0000EA0E0000}"/>
    <cellStyle name="Subtotals1 3" xfId="3821" xr:uid="{00000000-0005-0000-0000-0000EB0E0000}"/>
    <cellStyle name="Subtotals1 3 2" xfId="3822" xr:uid="{00000000-0005-0000-0000-0000EC0E0000}"/>
    <cellStyle name="Subtotals1 3 3" xfId="3823" xr:uid="{00000000-0005-0000-0000-0000ED0E0000}"/>
    <cellStyle name="Subtotals1 3 4" xfId="3824" xr:uid="{00000000-0005-0000-0000-0000EE0E0000}"/>
    <cellStyle name="Subtotals1 3 5" xfId="3825" xr:uid="{00000000-0005-0000-0000-0000EF0E0000}"/>
    <cellStyle name="Subtotals1 4" xfId="3826" xr:uid="{00000000-0005-0000-0000-0000F00E0000}"/>
    <cellStyle name="Subtotals1 5" xfId="3827" xr:uid="{00000000-0005-0000-0000-0000F10E0000}"/>
    <cellStyle name="Subtotals1 6" xfId="3828" xr:uid="{00000000-0005-0000-0000-0000F20E0000}"/>
    <cellStyle name="Subtotals1 7" xfId="3829" xr:uid="{00000000-0005-0000-0000-0000F30E0000}"/>
    <cellStyle name="swpBody01" xfId="3830" xr:uid="{00000000-0005-0000-0000-0000F40E0000}"/>
    <cellStyle name="swpBodyFirstCol" xfId="3831" xr:uid="{00000000-0005-0000-0000-0000F50E0000}"/>
    <cellStyle name="swpCaption" xfId="3832" xr:uid="{00000000-0005-0000-0000-0000F60E0000}"/>
    <cellStyle name="swpClear" xfId="3833" xr:uid="{00000000-0005-0000-0000-0000F70E0000}"/>
    <cellStyle name="swpHBBookTitle" xfId="3834" xr:uid="{00000000-0005-0000-0000-0000F80E0000}"/>
    <cellStyle name="swpHBChapterTitle" xfId="3835" xr:uid="{00000000-0005-0000-0000-0000F90E0000}"/>
    <cellStyle name="swpHead01" xfId="3836" xr:uid="{00000000-0005-0000-0000-0000FA0E0000}"/>
    <cellStyle name="swpHead01 2" xfId="3837" xr:uid="{00000000-0005-0000-0000-0000FB0E0000}"/>
    <cellStyle name="swpHead01 3" xfId="3838" xr:uid="{00000000-0005-0000-0000-0000FC0E0000}"/>
    <cellStyle name="swpHead01R" xfId="3839" xr:uid="{00000000-0005-0000-0000-0000FD0E0000}"/>
    <cellStyle name="swpHead01R 2" xfId="3840" xr:uid="{00000000-0005-0000-0000-0000FE0E0000}"/>
    <cellStyle name="swpHead01R 3" xfId="3841" xr:uid="{00000000-0005-0000-0000-0000FF0E0000}"/>
    <cellStyle name="swpHead02" xfId="3842" xr:uid="{00000000-0005-0000-0000-0000000F0000}"/>
    <cellStyle name="swpHead02R" xfId="3843" xr:uid="{00000000-0005-0000-0000-0000010F0000}"/>
    <cellStyle name="swpHead03" xfId="3844" xr:uid="{00000000-0005-0000-0000-0000020F0000}"/>
    <cellStyle name="swpHead03R" xfId="3845" xr:uid="{00000000-0005-0000-0000-0000030F0000}"/>
    <cellStyle name="swpHeadBraL" xfId="3846" xr:uid="{00000000-0005-0000-0000-0000040F0000}"/>
    <cellStyle name="swpHeadBraM" xfId="3847" xr:uid="{00000000-0005-0000-0000-0000050F0000}"/>
    <cellStyle name="swpHeadBraR" xfId="3848" xr:uid="{00000000-0005-0000-0000-0000060F0000}"/>
    <cellStyle name="swpTag" xfId="3849" xr:uid="{00000000-0005-0000-0000-0000070F0000}"/>
    <cellStyle name="swpTotals" xfId="3850" xr:uid="{00000000-0005-0000-0000-0000080F0000}"/>
    <cellStyle name="swpTotals 2" xfId="3851" xr:uid="{00000000-0005-0000-0000-0000090F0000}"/>
    <cellStyle name="swpTotals 3" xfId="3852" xr:uid="{00000000-0005-0000-0000-00000A0F0000}"/>
    <cellStyle name="swpTotalsNo" xfId="3853" xr:uid="{00000000-0005-0000-0000-00000B0F0000}"/>
    <cellStyle name="swpTotalsNo 2" xfId="3854" xr:uid="{00000000-0005-0000-0000-00000C0F0000}"/>
    <cellStyle name="swpTotalsNo 3" xfId="3855" xr:uid="{00000000-0005-0000-0000-00000D0F0000}"/>
    <cellStyle name="swpTotalsTotal" xfId="3856" xr:uid="{00000000-0005-0000-0000-00000E0F0000}"/>
    <cellStyle name="swpTotalsTotal 2" xfId="3857" xr:uid="{00000000-0005-0000-0000-00000F0F0000}"/>
    <cellStyle name="swpTotalsTotal 2 2" xfId="3858" xr:uid="{00000000-0005-0000-0000-0000100F0000}"/>
    <cellStyle name="swpTotalsTotal 2 2 2" xfId="3859" xr:uid="{00000000-0005-0000-0000-0000110F0000}"/>
    <cellStyle name="swpTotalsTotal 2 3" xfId="3860" xr:uid="{00000000-0005-0000-0000-0000120F0000}"/>
    <cellStyle name="swpTotalsTotal 2 3 2" xfId="3861" xr:uid="{00000000-0005-0000-0000-0000130F0000}"/>
    <cellStyle name="swpTotalsTotal 2 4" xfId="3862" xr:uid="{00000000-0005-0000-0000-0000140F0000}"/>
    <cellStyle name="swpTotalsTotal 3" xfId="3863" xr:uid="{00000000-0005-0000-0000-0000150F0000}"/>
    <cellStyle name="swpTotalsTotal 3 2" xfId="3864" xr:uid="{00000000-0005-0000-0000-0000160F0000}"/>
    <cellStyle name="swpTotalsTotal 4" xfId="3865" xr:uid="{00000000-0005-0000-0000-0000170F0000}"/>
    <cellStyle name="swpTotalsTotal 4 2" xfId="3866" xr:uid="{00000000-0005-0000-0000-0000180F0000}"/>
    <cellStyle name="swpTotalsTotal 5" xfId="3867" xr:uid="{00000000-0005-0000-0000-0000190F0000}"/>
    <cellStyle name="swpTotalsTotal 5 2" xfId="3868" xr:uid="{00000000-0005-0000-0000-00001A0F0000}"/>
    <cellStyle name="swpTotalsTotal 6" xfId="3869" xr:uid="{00000000-0005-0000-0000-00001B0F0000}"/>
    <cellStyle name="swpTotalsTotal 6 2" xfId="3870" xr:uid="{00000000-0005-0000-0000-00001C0F0000}"/>
    <cellStyle name="swpTotalsTotal 7" xfId="3871" xr:uid="{00000000-0005-0000-0000-00001D0F0000}"/>
    <cellStyle name="Table Col Head" xfId="3872" xr:uid="{00000000-0005-0000-0000-00001E0F0000}"/>
    <cellStyle name="Table Sub Head" xfId="3873" xr:uid="{00000000-0005-0000-0000-00001F0F0000}"/>
    <cellStyle name="Table Title" xfId="3874" xr:uid="{00000000-0005-0000-0000-0000200F0000}"/>
    <cellStyle name="Table Units" xfId="3875" xr:uid="{00000000-0005-0000-0000-0000210F0000}"/>
    <cellStyle name="TableBody" xfId="3876" xr:uid="{00000000-0005-0000-0000-0000220F0000}"/>
    <cellStyle name="TableBody 2" xfId="3877" xr:uid="{00000000-0005-0000-0000-0000230F0000}"/>
    <cellStyle name="TableBody 3" xfId="3878" xr:uid="{00000000-0005-0000-0000-0000240F0000}"/>
    <cellStyle name="TextEntry" xfId="3879" xr:uid="{00000000-0005-0000-0000-0000250F0000}"/>
    <cellStyle name="TextEntry 2" xfId="3880" xr:uid="{00000000-0005-0000-0000-0000260F0000}"/>
    <cellStyle name="TextEntry 3" xfId="3881" xr:uid="{00000000-0005-0000-0000-0000270F0000}"/>
    <cellStyle name="TextStyle" xfId="3882" xr:uid="{00000000-0005-0000-0000-0000280F0000}"/>
    <cellStyle name="TextStyle 2" xfId="3883" xr:uid="{00000000-0005-0000-0000-0000290F0000}"/>
    <cellStyle name="TextStyle 3" xfId="3884" xr:uid="{00000000-0005-0000-0000-00002A0F0000}"/>
    <cellStyle name="þíÌY_x000c_Eý)_x000d_8ýß_x0007_×Üï_x0012__x0007__x0001__x0001_" xfId="3885" xr:uid="{00000000-0005-0000-0000-00002B0F0000}"/>
    <cellStyle name="Thousands" xfId="3886" xr:uid="{00000000-0005-0000-0000-00002C0F0000}"/>
    <cellStyle name="Thousands 2" xfId="3887" xr:uid="{00000000-0005-0000-0000-00002D0F0000}"/>
    <cellStyle name="Thousands 3" xfId="3888" xr:uid="{00000000-0005-0000-0000-00002E0F0000}"/>
    <cellStyle name="Times" xfId="3889" xr:uid="{00000000-0005-0000-0000-00002F0F0000}"/>
    <cellStyle name="Title - PROJECT" xfId="3890" xr:uid="{00000000-0005-0000-0000-0000300F0000}"/>
    <cellStyle name="Title - PROJECT 2" xfId="3891" xr:uid="{00000000-0005-0000-0000-0000310F0000}"/>
    <cellStyle name="Title - Underline" xfId="3892" xr:uid="{00000000-0005-0000-0000-0000320F0000}"/>
    <cellStyle name="Title 2" xfId="47" xr:uid="{00000000-0005-0000-0000-0000330F0000}"/>
    <cellStyle name="Title 3" xfId="3893" xr:uid="{00000000-0005-0000-0000-0000340F0000}"/>
    <cellStyle name="Title 4" xfId="3894" xr:uid="{00000000-0005-0000-0000-0000350F0000}"/>
    <cellStyle name="Title 5" xfId="3895" xr:uid="{00000000-0005-0000-0000-0000360F0000}"/>
    <cellStyle name="Title 6" xfId="3896" xr:uid="{00000000-0005-0000-0000-0000370F0000}"/>
    <cellStyle name="Title 7" xfId="3897" xr:uid="{00000000-0005-0000-0000-0000380F0000}"/>
    <cellStyle name="Title 8" xfId="3898" xr:uid="{00000000-0005-0000-0000-0000390F0000}"/>
    <cellStyle name="Title 9" xfId="3899" xr:uid="{00000000-0005-0000-0000-00003A0F0000}"/>
    <cellStyle name="Titles" xfId="3900" xr:uid="{00000000-0005-0000-0000-00003B0F0000}"/>
    <cellStyle name="Titles - Col. Headings" xfId="3901" xr:uid="{00000000-0005-0000-0000-00003C0F0000}"/>
    <cellStyle name="Titles - Other" xfId="3902" xr:uid="{00000000-0005-0000-0000-00003D0F0000}"/>
    <cellStyle name="Titles - Other 2" xfId="3903" xr:uid="{00000000-0005-0000-0000-00003E0F0000}"/>
    <cellStyle name="todate" xfId="3904" xr:uid="{00000000-0005-0000-0000-00003F0F0000}"/>
    <cellStyle name="Top Line" xfId="3905" xr:uid="{00000000-0005-0000-0000-0000400F0000}"/>
    <cellStyle name="Top Line 2" xfId="3906" xr:uid="{00000000-0005-0000-0000-0000410F0000}"/>
    <cellStyle name="Top Line 3" xfId="3907" xr:uid="{00000000-0005-0000-0000-0000420F0000}"/>
    <cellStyle name="Total" xfId="21" builtinId="25" customBuiltin="1"/>
    <cellStyle name="TotalNumbers" xfId="3908" xr:uid="{00000000-0005-0000-0000-0000440F0000}"/>
    <cellStyle name="TotalNumbers 2" xfId="3909" xr:uid="{00000000-0005-0000-0000-0000450F0000}"/>
    <cellStyle name="TotalNumbers 3" xfId="3910" xr:uid="{00000000-0005-0000-0000-0000460F0000}"/>
    <cellStyle name="underlineHeading" xfId="3911" xr:uid="{00000000-0005-0000-0000-0000470F0000}"/>
    <cellStyle name="underlineHeading 2" xfId="3912" xr:uid="{00000000-0005-0000-0000-0000480F0000}"/>
    <cellStyle name="underlineHeading 2 2" xfId="3913" xr:uid="{00000000-0005-0000-0000-0000490F0000}"/>
    <cellStyle name="underlineHeading 2 2 2" xfId="3914" xr:uid="{00000000-0005-0000-0000-00004A0F0000}"/>
    <cellStyle name="underlineHeading 2 3" xfId="3915" xr:uid="{00000000-0005-0000-0000-00004B0F0000}"/>
    <cellStyle name="underlineHeading 2 3 2" xfId="3916" xr:uid="{00000000-0005-0000-0000-00004C0F0000}"/>
    <cellStyle name="underlineHeading 2 4" xfId="3917" xr:uid="{00000000-0005-0000-0000-00004D0F0000}"/>
    <cellStyle name="underlineHeading 3" xfId="3918" xr:uid="{00000000-0005-0000-0000-00004E0F0000}"/>
    <cellStyle name="underlineHeading 3 2" xfId="3919" xr:uid="{00000000-0005-0000-0000-00004F0F0000}"/>
    <cellStyle name="underlineHeading 4" xfId="3920" xr:uid="{00000000-0005-0000-0000-0000500F0000}"/>
    <cellStyle name="underlineHeading 4 2" xfId="3921" xr:uid="{00000000-0005-0000-0000-0000510F0000}"/>
    <cellStyle name="underlineHeading 5" xfId="3922" xr:uid="{00000000-0005-0000-0000-0000520F0000}"/>
    <cellStyle name="underlineHeading 5 2" xfId="3923" xr:uid="{00000000-0005-0000-0000-0000530F0000}"/>
    <cellStyle name="underlineHeading 6" xfId="3924" xr:uid="{00000000-0005-0000-0000-0000540F0000}"/>
    <cellStyle name="underlineHeading 6 2" xfId="3925" xr:uid="{00000000-0005-0000-0000-0000550F0000}"/>
    <cellStyle name="underlineHeading 7" xfId="3926" xr:uid="{00000000-0005-0000-0000-0000560F0000}"/>
    <cellStyle name="Unprot" xfId="3927" xr:uid="{00000000-0005-0000-0000-0000570F0000}"/>
    <cellStyle name="Unprot$" xfId="3928" xr:uid="{00000000-0005-0000-0000-0000580F0000}"/>
    <cellStyle name="Unprot$ 2" xfId="3929" xr:uid="{00000000-0005-0000-0000-0000590F0000}"/>
    <cellStyle name="Unprotect" xfId="3930" xr:uid="{00000000-0005-0000-0000-00005A0F0000}"/>
    <cellStyle name="van_box" xfId="3931" xr:uid="{00000000-0005-0000-0000-00005B0F0000}"/>
    <cellStyle name="Var%" xfId="3932" xr:uid="{00000000-0005-0000-0000-00005C0F0000}"/>
    <cellStyle name="Var% 2" xfId="3933" xr:uid="{00000000-0005-0000-0000-00005D0F0000}"/>
    <cellStyle name="Var% 3" xfId="3934" xr:uid="{00000000-0005-0000-0000-00005E0F0000}"/>
    <cellStyle name="Warning Text" xfId="19" builtinId="11" customBuiltin="1"/>
    <cellStyle name="White" xfId="3935" xr:uid="{00000000-0005-0000-0000-0000600F0000}"/>
    <cellStyle name="White 2" xfId="3936" xr:uid="{00000000-0005-0000-0000-0000610F0000}"/>
    <cellStyle name="Wrapped" xfId="3937" xr:uid="{00000000-0005-0000-0000-0000620F0000}"/>
    <cellStyle name="Wrapped 2" xfId="3938" xr:uid="{00000000-0005-0000-0000-0000630F0000}"/>
    <cellStyle name="Wrapped 2 2" xfId="3939" xr:uid="{00000000-0005-0000-0000-0000640F0000}"/>
    <cellStyle name="Wrapped 3" xfId="3940" xr:uid="{00000000-0005-0000-0000-0000650F0000}"/>
    <cellStyle name="Wrapped 3 2" xfId="3941" xr:uid="{00000000-0005-0000-0000-0000660F0000}"/>
    <cellStyle name="Wrapped 4" xfId="3942" xr:uid="{00000000-0005-0000-0000-0000670F0000}"/>
    <cellStyle name="wu" xfId="3943" xr:uid="{00000000-0005-0000-0000-0000680F0000}"/>
    <cellStyle name="wu 2" xfId="3944" xr:uid="{00000000-0005-0000-0000-0000690F0000}"/>
    <cellStyle name="wu 3" xfId="3945" xr:uid="{00000000-0005-0000-0000-00006A0F0000}"/>
    <cellStyle name="Year" xfId="3946" xr:uid="{00000000-0005-0000-0000-00006B0F0000}"/>
    <cellStyle name="一般_NJA" xfId="3947" xr:uid="{00000000-0005-0000-0000-00006C0F0000}"/>
    <cellStyle name="桁区切り [0.00]_Asia Securities Balance Sheet 1q2004" xfId="3948" xr:uid="{00000000-0005-0000-0000-00006D0F0000}"/>
    <cellStyle name="桁区切り_Asia Securities Balance Sheet 1q2004" xfId="3949" xr:uid="{00000000-0005-0000-0000-00006E0F0000}"/>
    <cellStyle name="標準_~2262088" xfId="3950" xr:uid="{00000000-0005-0000-0000-00006F0F0000}"/>
    <cellStyle name="通貨 [0.00]_Asia Securities Balance Sheet 1q2004" xfId="3951" xr:uid="{00000000-0005-0000-0000-0000700F0000}"/>
    <cellStyle name="通貨_Asia Securities Balance Sheet 1q2004" xfId="3952" xr:uid="{00000000-0005-0000-0000-0000710F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4ECFA"/>
      <color rgb="FFFFFF66"/>
      <color rgb="FF97F12B"/>
      <color rgb="FFA1FDC0"/>
      <color rgb="FF6854F8"/>
      <color rgb="FFC5C5C5"/>
      <color rgb="FFA4BF41"/>
      <color rgb="FFB646E8"/>
      <color rgb="FF9082FA"/>
      <color rgb="FFEBF6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5" dT="2024-02-27T16:26:02.60" personId="{00000000-0000-0000-0000-000000000000}" id="{A24A2D70-ED4E-44AB-B5CC-4CE7AFC2F48A}">
    <text>No "&amp;" in Business Definition</text>
  </threadedComment>
  <threadedComment ref="D9" dT="2024-02-27T16:05:28.79" personId="{00000000-0000-0000-0000-000000000000}" id="{4AA4CE10-73FE-4646-8C7E-C1F0E2BF5E63}">
    <text>No spaces or any other format and No BYTE or CHAR please</text>
  </threadedComment>
  <threadedComment ref="H9" dT="2024-02-27T16:25:48.91" personId="{00000000-0000-0000-0000-000000000000}" id="{B5E08E26-35FA-412F-821B-340A9235FFC8}">
    <text>No "&amp;" in Business Definition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FCE14-916F-44E5-ADDA-A49F8526702E}">
  <sheetPr filterMode="1"/>
  <dimension ref="A1:AA140"/>
  <sheetViews>
    <sheetView tabSelected="1" topLeftCell="A5" zoomScale="90" zoomScaleNormal="90" workbookViewId="0">
      <selection activeCell="U35" sqref="U35"/>
    </sheetView>
  </sheetViews>
  <sheetFormatPr defaultRowHeight="15"/>
  <cols>
    <col min="1" max="1" width="40.7109375" customWidth="1"/>
    <col min="2" max="2" width="14.85546875" customWidth="1"/>
    <col min="3" max="3" width="33.5703125" bestFit="1" customWidth="1"/>
    <col min="4" max="4" width="22.85546875" bestFit="1" customWidth="1"/>
    <col min="5" max="5" width="9.28515625" customWidth="1"/>
    <col min="6" max="6" width="29.28515625" bestFit="1" customWidth="1"/>
    <col min="7" max="7" width="8.85546875" customWidth="1"/>
    <col min="8" max="8" width="61.28515625" style="34" customWidth="1"/>
    <col min="9" max="9" width="2.85546875" customWidth="1"/>
    <col min="10" max="10" width="9.28515625" hidden="1" customWidth="1"/>
    <col min="11" max="11" width="10.7109375" hidden="1" customWidth="1"/>
    <col min="12" max="12" width="3" customWidth="1"/>
    <col min="13" max="13" width="13" hidden="1" customWidth="1"/>
    <col min="14" max="15" width="11.28515625" hidden="1" customWidth="1"/>
    <col min="16" max="16" width="61.28515625" style="34" hidden="1" customWidth="1"/>
    <col min="17" max="17" width="55.7109375" style="30" hidden="1" customWidth="1"/>
    <col min="18" max="18" width="11.7109375" hidden="1" customWidth="1"/>
    <col min="19" max="19" width="27.7109375" hidden="1" customWidth="1"/>
    <col min="20" max="20" width="26.7109375" bestFit="1" customWidth="1"/>
    <col min="21" max="21" width="28.28515625" bestFit="1" customWidth="1"/>
    <col min="22" max="22" width="35.28515625" bestFit="1" customWidth="1"/>
    <col min="23" max="23" width="14.28515625" customWidth="1"/>
    <col min="24" max="24" width="11.7109375" customWidth="1"/>
    <col min="25" max="25" width="26.7109375" customWidth="1"/>
    <col min="26" max="26" width="29" bestFit="1" customWidth="1"/>
  </cols>
  <sheetData>
    <row r="1" spans="1:27" ht="15" customHeight="1">
      <c r="A1" s="14" t="s">
        <v>0</v>
      </c>
      <c r="B1" s="8" t="s">
        <v>1</v>
      </c>
      <c r="C1" s="8"/>
      <c r="D1" s="8"/>
      <c r="E1" s="8"/>
      <c r="F1" s="48" t="s">
        <v>2</v>
      </c>
      <c r="G1" s="48"/>
      <c r="H1" s="48"/>
      <c r="I1" s="48"/>
      <c r="J1" s="48"/>
      <c r="K1" s="48"/>
      <c r="L1" s="48"/>
      <c r="M1" s="48"/>
      <c r="N1" s="8"/>
      <c r="O1" s="8"/>
      <c r="P1" s="32"/>
      <c r="Q1" s="28"/>
      <c r="R1" s="8"/>
      <c r="S1" s="8"/>
      <c r="T1" s="8"/>
      <c r="U1" s="8"/>
      <c r="V1" s="8"/>
      <c r="W1" s="8"/>
      <c r="X1" s="8"/>
      <c r="Y1" s="8"/>
    </row>
    <row r="2" spans="1:27" ht="16.899999999999999" customHeight="1">
      <c r="A2" s="14" t="s">
        <v>3</v>
      </c>
      <c r="B2" s="8" t="s">
        <v>4</v>
      </c>
      <c r="C2" s="8"/>
      <c r="D2" s="8"/>
      <c r="E2" s="8"/>
      <c r="F2" s="48"/>
      <c r="G2" s="48"/>
      <c r="H2" s="48"/>
      <c r="I2" s="48"/>
      <c r="J2" s="48"/>
      <c r="K2" s="48"/>
      <c r="L2" s="48"/>
      <c r="M2" s="48"/>
      <c r="N2" s="8"/>
      <c r="O2" s="8"/>
      <c r="P2" s="32"/>
      <c r="Q2" s="28"/>
      <c r="R2" s="8"/>
      <c r="S2" s="8"/>
      <c r="T2" s="8"/>
      <c r="U2" s="8"/>
      <c r="V2" s="8"/>
      <c r="W2" s="8"/>
      <c r="X2" s="8"/>
      <c r="Y2" s="8"/>
    </row>
    <row r="3" spans="1:27">
      <c r="A3" s="15" t="s">
        <v>5</v>
      </c>
      <c r="B3" s="8"/>
      <c r="C3" s="8"/>
      <c r="D3" s="8"/>
      <c r="E3" s="8"/>
      <c r="F3" s="48"/>
      <c r="G3" s="48"/>
      <c r="H3" s="48"/>
      <c r="I3" s="48"/>
      <c r="J3" s="48"/>
      <c r="K3" s="48"/>
      <c r="L3" s="48"/>
      <c r="M3" s="48"/>
      <c r="N3" s="8"/>
      <c r="O3" s="8"/>
      <c r="P3" s="32"/>
      <c r="Q3" s="28"/>
      <c r="R3" s="8"/>
      <c r="S3" s="8"/>
      <c r="T3" s="8"/>
      <c r="U3" s="8"/>
      <c r="V3" s="8"/>
      <c r="W3" s="8"/>
      <c r="X3" s="8"/>
      <c r="Y3" s="8"/>
    </row>
    <row r="4" spans="1:27">
      <c r="A4" s="14" t="s">
        <v>6</v>
      </c>
      <c r="B4" s="8"/>
      <c r="C4" s="8"/>
      <c r="D4" s="8"/>
      <c r="E4" s="8"/>
      <c r="F4" s="48"/>
      <c r="G4" s="48"/>
      <c r="H4" s="48"/>
      <c r="I4" s="48"/>
      <c r="J4" s="48"/>
      <c r="K4" s="48"/>
      <c r="L4" s="48"/>
      <c r="M4" s="48"/>
      <c r="N4" s="8"/>
      <c r="O4" s="8"/>
      <c r="P4" s="32"/>
      <c r="Q4" s="28"/>
      <c r="R4" s="8"/>
      <c r="S4" s="8"/>
      <c r="T4" s="8"/>
      <c r="U4" s="8"/>
      <c r="V4" s="8"/>
      <c r="W4" s="8"/>
      <c r="X4" s="8"/>
      <c r="Y4" s="8"/>
    </row>
    <row r="5" spans="1:27" ht="144" customHeight="1">
      <c r="A5" s="14" t="s">
        <v>7</v>
      </c>
      <c r="B5" s="8" t="s">
        <v>8</v>
      </c>
      <c r="C5" s="8"/>
      <c r="D5" s="8"/>
      <c r="E5" s="8"/>
      <c r="F5" s="13" t="s">
        <v>9</v>
      </c>
      <c r="G5" s="6" t="s">
        <v>9</v>
      </c>
      <c r="H5" s="31" t="s">
        <v>9</v>
      </c>
      <c r="I5" s="57" t="s">
        <v>10</v>
      </c>
      <c r="J5" s="58"/>
      <c r="K5" s="8"/>
      <c r="M5" s="8"/>
      <c r="N5" s="8"/>
      <c r="O5" s="8"/>
      <c r="P5" s="32"/>
      <c r="Q5" s="28"/>
      <c r="R5" s="8"/>
      <c r="S5" s="8"/>
      <c r="T5" s="8"/>
      <c r="U5" s="8"/>
      <c r="V5" s="8"/>
      <c r="W5" s="8"/>
      <c r="X5" s="8"/>
      <c r="Y5" s="8"/>
    </row>
    <row r="6" spans="1:27" ht="30">
      <c r="A6" s="14" t="s">
        <v>11</v>
      </c>
      <c r="B6" s="8"/>
      <c r="C6" s="8"/>
      <c r="D6" s="8"/>
      <c r="E6" s="8"/>
      <c r="F6" s="8"/>
      <c r="G6" s="8"/>
      <c r="H6" s="32"/>
      <c r="I6" s="8"/>
      <c r="J6" s="8"/>
      <c r="K6" s="8"/>
      <c r="L6" s="8"/>
      <c r="M6" s="8"/>
      <c r="N6" s="8"/>
      <c r="O6" s="8"/>
      <c r="P6" s="32"/>
      <c r="Q6" s="28"/>
      <c r="R6" s="8"/>
      <c r="S6" s="8"/>
      <c r="T6" s="8"/>
      <c r="U6" s="8"/>
      <c r="V6" s="8"/>
      <c r="W6" s="8"/>
      <c r="X6" s="8"/>
      <c r="Y6" s="8"/>
    </row>
    <row r="7" spans="1:27">
      <c r="A7" s="14" t="s">
        <v>12</v>
      </c>
      <c r="B7" s="8"/>
      <c r="C7" s="8"/>
      <c r="D7" s="8"/>
      <c r="E7" s="8"/>
      <c r="F7" s="8"/>
      <c r="G7" s="8"/>
      <c r="H7" s="32"/>
      <c r="I7" s="8"/>
      <c r="J7" s="8"/>
      <c r="K7" s="8"/>
      <c r="L7" s="8"/>
      <c r="M7" s="8"/>
      <c r="N7" s="8"/>
      <c r="O7" s="8"/>
      <c r="P7" s="32"/>
      <c r="Q7" s="28"/>
      <c r="R7" s="8"/>
      <c r="S7" s="8"/>
      <c r="T7" s="8"/>
      <c r="U7" s="8"/>
      <c r="V7" s="8"/>
      <c r="W7" s="8"/>
      <c r="X7" s="8"/>
      <c r="Y7" s="8"/>
    </row>
    <row r="8" spans="1:27" ht="15" customHeight="1">
      <c r="A8" s="49" t="s">
        <v>13</v>
      </c>
      <c r="B8" s="50"/>
      <c r="C8" s="50"/>
      <c r="D8" s="50"/>
      <c r="E8" s="50"/>
      <c r="F8" s="50"/>
      <c r="G8" s="50"/>
      <c r="H8" s="51"/>
      <c r="I8" s="17"/>
      <c r="J8" s="17"/>
      <c r="K8" s="17"/>
      <c r="L8" s="17"/>
      <c r="M8" s="17"/>
      <c r="N8" s="54" t="s">
        <v>14</v>
      </c>
      <c r="O8" s="55"/>
      <c r="P8" s="55"/>
      <c r="Q8" s="55"/>
      <c r="R8" s="55"/>
      <c r="S8" s="55"/>
      <c r="T8" s="55"/>
      <c r="U8" s="55"/>
      <c r="V8" s="55"/>
      <c r="W8" s="56"/>
      <c r="X8" s="52" t="s">
        <v>15</v>
      </c>
      <c r="Y8" s="53"/>
    </row>
    <row r="9" spans="1:27" s="4" customFormat="1" ht="75" customHeight="1">
      <c r="A9" s="7" t="s">
        <v>16</v>
      </c>
      <c r="B9" s="23" t="s">
        <v>17</v>
      </c>
      <c r="C9" s="18" t="s">
        <v>18</v>
      </c>
      <c r="D9" s="7" t="s">
        <v>19</v>
      </c>
      <c r="E9" s="7" t="s">
        <v>20</v>
      </c>
      <c r="F9" s="6" t="s">
        <v>21</v>
      </c>
      <c r="G9" s="7" t="s">
        <v>22</v>
      </c>
      <c r="H9" s="33" t="s">
        <v>23</v>
      </c>
      <c r="I9" s="7" t="s">
        <v>24</v>
      </c>
      <c r="J9" s="7" t="s">
        <v>25</v>
      </c>
      <c r="K9" s="7" t="s">
        <v>26</v>
      </c>
      <c r="L9" s="7" t="s">
        <v>27</v>
      </c>
      <c r="M9" s="18" t="s">
        <v>28</v>
      </c>
      <c r="N9" s="18" t="s">
        <v>29</v>
      </c>
      <c r="O9" s="18" t="s">
        <v>30</v>
      </c>
      <c r="P9" s="37"/>
      <c r="Q9" s="18"/>
      <c r="R9" s="18" t="s">
        <v>31</v>
      </c>
      <c r="S9" s="18" t="s">
        <v>32</v>
      </c>
      <c r="T9" s="9" t="s">
        <v>33</v>
      </c>
      <c r="U9" s="10" t="s">
        <v>34</v>
      </c>
      <c r="V9" s="11" t="s">
        <v>35</v>
      </c>
      <c r="W9" s="12" t="s">
        <v>36</v>
      </c>
      <c r="X9" s="12" t="s">
        <v>37</v>
      </c>
      <c r="Y9" s="20" t="s">
        <v>38</v>
      </c>
      <c r="Z9" s="13" t="s">
        <v>39</v>
      </c>
      <c r="AA9"/>
    </row>
    <row r="10" spans="1:27" hidden="1">
      <c r="A10" t="s">
        <v>40</v>
      </c>
      <c r="B10" s="21"/>
      <c r="C10" s="5"/>
      <c r="D10" s="5" t="s">
        <v>41</v>
      </c>
      <c r="E10" s="5" t="s">
        <v>42</v>
      </c>
      <c r="F10" s="5" t="s">
        <v>43</v>
      </c>
      <c r="G10" s="5" t="s">
        <v>42</v>
      </c>
      <c r="H10" t="s">
        <v>44</v>
      </c>
      <c r="I10" s="2"/>
      <c r="J10" s="2"/>
      <c r="K10" s="2"/>
      <c r="L10" s="2"/>
      <c r="M10" s="2" t="e">
        <f>VLOOKUP(A10,Model!C$2:J$93,2,FALSE)=C10</f>
        <v>#N/A</v>
      </c>
      <c r="N10" s="2"/>
      <c r="O10" s="2" t="e">
        <f>VLOOKUP(A10,Model!C$2:J$93,3,FALSE)=H10</f>
        <v>#N/A</v>
      </c>
      <c r="P10" s="29" t="e">
        <f>VLOOKUP(A10,Model!C$2:J$93,3,FALSE)</f>
        <v>#N/A</v>
      </c>
      <c r="Q10" s="29" t="e">
        <f>VLOOKUP(A10,Model!C$2:J$93,8,FALSE)</f>
        <v>#N/A</v>
      </c>
      <c r="R10" s="2" t="e">
        <f>VLOOKUP(C10,Table!A$2:F$98,1,FALSE)=C10</f>
        <v>#N/A</v>
      </c>
      <c r="S10" s="2" t="e">
        <f>VLOOKUP(SUBSTITUTE(A10," ","_"),View!A$2:I$106,1,FALSE)</f>
        <v>#N/A</v>
      </c>
      <c r="T10" s="3"/>
      <c r="U10" s="5"/>
      <c r="V10" s="5"/>
      <c r="W10" s="5" t="s">
        <v>41</v>
      </c>
      <c r="X10" s="5" t="s">
        <v>42</v>
      </c>
      <c r="Y10" s="19"/>
      <c r="Z10" s="1"/>
    </row>
    <row r="11" spans="1:27" ht="45" hidden="1">
      <c r="A11" s="21" t="s">
        <v>45</v>
      </c>
      <c r="B11" s="21"/>
      <c r="C11" s="5" t="s">
        <v>46</v>
      </c>
      <c r="D11" s="5" t="s">
        <v>47</v>
      </c>
      <c r="E11" s="5" t="s">
        <v>48</v>
      </c>
      <c r="F11" s="5" t="s">
        <v>49</v>
      </c>
      <c r="G11" s="5" t="s">
        <v>48</v>
      </c>
      <c r="H11" s="27" t="s">
        <v>50</v>
      </c>
      <c r="I11" s="5"/>
      <c r="J11" s="5"/>
      <c r="K11" s="5"/>
      <c r="L11" s="5"/>
      <c r="M11" s="2" t="b">
        <f>VLOOKUP(A11,Model!C$2:J$93,2,FALSE)=C11</f>
        <v>1</v>
      </c>
      <c r="N11" s="5"/>
      <c r="O11" s="2" t="b">
        <f>VLOOKUP(A11,Model!C$2:J$93,3,FALSE)=H11</f>
        <v>0</v>
      </c>
      <c r="P11" s="29" t="str">
        <f>VLOOKUP(A11,Model!C$2:J$93,3,FALSE)</f>
        <v xml:space="preserve">MAXIT: Hardcode ??? We need to setup a source system
RJT Source: TAX_LOT_OPN_MSTR.SRC_STM_ID
</v>
      </c>
      <c r="Q11" s="29">
        <f>VLOOKUP(A11,Model!C$2:J$93,8,FALSE)</f>
        <v>2</v>
      </c>
      <c r="R11" s="2" t="b">
        <f>VLOOKUP(C11,Table!A$2:F$98,1,FALSE)=C11</f>
        <v>1</v>
      </c>
      <c r="S11" s="2" t="str">
        <f>VLOOKUP(SUBSTITUTE(A11," ","_"),View!A$2:I$106,1,FALSE)</f>
        <v>SOURCE_SYSTEM_CODE</v>
      </c>
      <c r="T11" s="3" t="s">
        <v>51</v>
      </c>
      <c r="U11" s="5" t="s">
        <v>52</v>
      </c>
      <c r="V11" s="5" t="s">
        <v>46</v>
      </c>
      <c r="W11" s="5" t="s">
        <v>47</v>
      </c>
      <c r="X11" s="5" t="s">
        <v>48</v>
      </c>
      <c r="Y11" s="19" t="s">
        <v>53</v>
      </c>
      <c r="Z11" s="5"/>
    </row>
    <row r="12" spans="1:27" ht="66" hidden="1" customHeight="1">
      <c r="A12" s="21" t="s">
        <v>54</v>
      </c>
      <c r="B12" s="21"/>
      <c r="C12" s="5" t="s">
        <v>55</v>
      </c>
      <c r="D12" s="5" t="s">
        <v>41</v>
      </c>
      <c r="E12" s="5" t="s">
        <v>48</v>
      </c>
      <c r="F12" s="5" t="s">
        <v>41</v>
      </c>
      <c r="G12" s="5" t="s">
        <v>48</v>
      </c>
      <c r="H12" s="27" t="s">
        <v>56</v>
      </c>
      <c r="I12" s="5"/>
      <c r="J12" s="5"/>
      <c r="K12" s="5"/>
      <c r="L12" s="5"/>
      <c r="M12" s="2" t="b">
        <f>VLOOKUP(A12,Model!C$2:J$93,2,FALSE)=C12</f>
        <v>1</v>
      </c>
      <c r="N12" s="5"/>
      <c r="O12" s="2" t="b">
        <f>VLOOKUP(A12,Model!C$2:J$93,3,FALSE)=H12</f>
        <v>0</v>
      </c>
      <c r="P12" s="29" t="str">
        <f>VLOOKUP(A12,Model!C$2:J$93,3,FALSE)</f>
        <v>Arrangement Id for the account
MAXIT Source:TAX_LOT_DTL_OPN/CLS.AR_ID
RJT Source:TAX_LOT_OPN_MSTR.AR_ID</v>
      </c>
      <c r="Q12" s="29">
        <f>VLOOKUP(A12,Model!C$2:J$93,8,FALSE)</f>
        <v>3</v>
      </c>
      <c r="R12" s="2" t="b">
        <f>VLOOKUP(C12,Table!A$2:F$98,1,FALSE)=C12</f>
        <v>1</v>
      </c>
      <c r="S12" s="2" t="str">
        <f>VLOOKUP(SUBSTITUTE(A12," ","_"),View!A$2:I$106,1,FALSE)</f>
        <v>ARRANGEMENT_ID</v>
      </c>
      <c r="T12" s="3" t="s">
        <v>57</v>
      </c>
      <c r="U12" s="5" t="s">
        <v>58</v>
      </c>
      <c r="V12" s="5" t="s">
        <v>55</v>
      </c>
      <c r="W12" s="5" t="s">
        <v>59</v>
      </c>
      <c r="X12" s="5" t="s">
        <v>48</v>
      </c>
      <c r="Y12" s="19"/>
      <c r="Z12" s="5"/>
    </row>
    <row r="13" spans="1:27" ht="50.25" hidden="1" customHeight="1">
      <c r="A13" s="21" t="s">
        <v>60</v>
      </c>
      <c r="B13" s="21"/>
      <c r="C13" s="5" t="s">
        <v>61</v>
      </c>
      <c r="D13" s="5" t="s">
        <v>41</v>
      </c>
      <c r="E13" s="5" t="s">
        <v>48</v>
      </c>
      <c r="F13" s="5" t="s">
        <v>41</v>
      </c>
      <c r="G13" s="5" t="s">
        <v>48</v>
      </c>
      <c r="H13" s="27" t="s">
        <v>62</v>
      </c>
      <c r="I13" s="5"/>
      <c r="J13" s="5"/>
      <c r="K13" s="5"/>
      <c r="L13" s="5"/>
      <c r="M13" s="2" t="b">
        <f>VLOOKUP(A13,Model!C$2:J$93,2,FALSE)=C13</f>
        <v>1</v>
      </c>
      <c r="N13" s="5"/>
      <c r="O13" s="2" t="b">
        <f>VLOOKUP(A13,Model!C$2:J$93,3,FALSE)=H13</f>
        <v>0</v>
      </c>
      <c r="P13" s="29" t="str">
        <f>VLOOKUP(A13,Model!C$2:J$93,3,FALSE)</f>
        <v>MAXIT Source: TAX_LOT_DTL_OPN/CLS.PD_ID
RJT Source: TAX_LOT_OPN_MSTR.CCAL_PD_ID
Lookup on IMT_PD_DIM using CL_PD_ID
PD_ID from CIRD - can be used as join key if date context is supplied at query time</v>
      </c>
      <c r="Q13" s="29">
        <f>VLOOKUP(A13,Model!C$2:J$93,8,FALSE)</f>
        <v>4</v>
      </c>
      <c r="R13" s="2" t="b">
        <f>VLOOKUP(C13,Table!A$2:F$98,1,FALSE)=C13</f>
        <v>1</v>
      </c>
      <c r="S13" s="2" t="str">
        <f>VLOOKUP(SUBSTITUTE(A13," ","_"),View!A$2:I$106,1,FALSE)</f>
        <v>CIRD_PRODUCT_ID</v>
      </c>
      <c r="T13" s="3" t="s">
        <v>63</v>
      </c>
      <c r="U13" s="5" t="s">
        <v>64</v>
      </c>
      <c r="V13" s="5" t="s">
        <v>61</v>
      </c>
      <c r="W13" s="5" t="s">
        <v>59</v>
      </c>
      <c r="X13" s="5" t="s">
        <v>48</v>
      </c>
      <c r="Y13" s="19" t="s">
        <v>65</v>
      </c>
      <c r="Z13" s="5"/>
    </row>
    <row r="14" spans="1:27" ht="33.75" hidden="1" customHeight="1">
      <c r="A14" s="21" t="s">
        <v>66</v>
      </c>
      <c r="B14" s="21"/>
      <c r="C14" s="5" t="s">
        <v>67</v>
      </c>
      <c r="D14" s="5" t="s">
        <v>41</v>
      </c>
      <c r="E14" s="5" t="s">
        <v>48</v>
      </c>
      <c r="F14" s="5" t="s">
        <v>41</v>
      </c>
      <c r="G14" s="5" t="s">
        <v>48</v>
      </c>
      <c r="H14" s="27" t="s">
        <v>68</v>
      </c>
      <c r="I14" s="5"/>
      <c r="J14" s="5"/>
      <c r="K14" s="5"/>
      <c r="L14" s="5"/>
      <c r="M14" s="2" t="b">
        <f>VLOOKUP(A14,Model!C$2:J$93,2,FALSE)=C14</f>
        <v>1</v>
      </c>
      <c r="N14" s="5"/>
      <c r="O14" s="2" t="b">
        <f>VLOOKUP(A14,Model!C$2:J$93,3,FALSE)=H14</f>
        <v>0</v>
      </c>
      <c r="P14" s="29" t="str">
        <f>VLOOKUP(A14,Model!C$2:J$93,3,FALSE)</f>
        <v xml:space="preserve">Product Id assigned by CCAL
MAXIT Source: TAX_LOT_DTL_OPN/CLS.PD_ID
RJT Source: TAX_LOT_OPN_MSTR.CCAL_PD_ID
</v>
      </c>
      <c r="Q14" s="29">
        <f>VLOOKUP(A14,Model!C$2:J$93,8,FALSE)</f>
        <v>5</v>
      </c>
      <c r="R14" s="2" t="b">
        <f>VLOOKUP(C14,Table!A$2:F$98,1,FALSE)=C14</f>
        <v>1</v>
      </c>
      <c r="S14" s="2" t="str">
        <f>VLOOKUP(SUBSTITUTE(A14," ","_"),View!A$2:I$106,1,FALSE)</f>
        <v>CCAL_PRODUCT_ID</v>
      </c>
      <c r="T14" s="3" t="s">
        <v>57</v>
      </c>
      <c r="U14" s="5" t="s">
        <v>58</v>
      </c>
      <c r="V14" s="5" t="s">
        <v>67</v>
      </c>
      <c r="W14" s="5" t="s">
        <v>59</v>
      </c>
      <c r="X14" s="5" t="s">
        <v>48</v>
      </c>
      <c r="Y14" s="19"/>
      <c r="Z14" s="5"/>
    </row>
    <row r="15" spans="1:27" ht="117" hidden="1" customHeight="1">
      <c r="A15" s="21" t="s">
        <v>69</v>
      </c>
      <c r="B15" s="21"/>
      <c r="C15" s="5" t="s">
        <v>70</v>
      </c>
      <c r="D15" s="5" t="s">
        <v>71</v>
      </c>
      <c r="E15" s="5" t="s">
        <v>48</v>
      </c>
      <c r="F15" s="5" t="s">
        <v>72</v>
      </c>
      <c r="G15" s="5" t="s">
        <v>48</v>
      </c>
      <c r="H15" s="27" t="s">
        <v>73</v>
      </c>
      <c r="I15" s="5"/>
      <c r="J15" s="5"/>
      <c r="K15" s="5"/>
      <c r="L15" s="5"/>
      <c r="M15" s="2" t="b">
        <f>VLOOKUP(A15,Model!C$2:J$93,2,FALSE)=C15</f>
        <v>1</v>
      </c>
      <c r="N15" s="5"/>
      <c r="O15" s="2" t="b">
        <f>VLOOKUP(A15,Model!C$2:J$93,3,FALSE)=H15</f>
        <v>0</v>
      </c>
      <c r="P15" s="29" t="str">
        <f>VLOOKUP(A15,Model!C$2:J$93,3,FALSE)</f>
        <v xml:space="preserve">MAXIT Source: TAXLOT_DTL_OPN.AC_TP
RJT Source: TAX_LOT_OPN_MSTR.ACG_TP_CODE
Accounting type code from SIS (e.g., 1,2,6). 
1= Cash Account
2= Margin Account
3= Special lot 2019
5= Special lot 2013
6= Short margin Account
</v>
      </c>
      <c r="Q15" s="29">
        <f>VLOOKUP(A15,Model!C$2:J$93,8,FALSE)</f>
        <v>8</v>
      </c>
      <c r="R15" s="2" t="b">
        <f>VLOOKUP(C15,Table!A$2:F$98,1,FALSE)=C15</f>
        <v>1</v>
      </c>
      <c r="S15" s="2" t="str">
        <f>VLOOKUP(SUBSTITUTE(A15," ","_"),View!A$2:I$106,1,FALSE)</f>
        <v>ACCOUNTING_TYPE_CODE</v>
      </c>
      <c r="T15" s="3" t="s">
        <v>57</v>
      </c>
      <c r="U15" s="5" t="s">
        <v>58</v>
      </c>
      <c r="V15" s="5" t="s">
        <v>74</v>
      </c>
      <c r="W15" s="5" t="s">
        <v>71</v>
      </c>
      <c r="X15" s="5" t="s">
        <v>48</v>
      </c>
      <c r="Y15" s="19"/>
      <c r="Z15" s="5"/>
    </row>
    <row r="16" spans="1:27" ht="45" hidden="1">
      <c r="A16" s="21" t="s">
        <v>75</v>
      </c>
      <c r="B16" s="21"/>
      <c r="C16" s="5" t="s">
        <v>76</v>
      </c>
      <c r="D16" s="5" t="s">
        <v>77</v>
      </c>
      <c r="E16" s="5" t="s">
        <v>48</v>
      </c>
      <c r="F16" s="5" t="s">
        <v>78</v>
      </c>
      <c r="G16" s="5" t="s">
        <v>48</v>
      </c>
      <c r="H16" s="27" t="s">
        <v>79</v>
      </c>
      <c r="I16" s="5"/>
      <c r="J16" s="5"/>
      <c r="K16" s="5"/>
      <c r="L16" s="5"/>
      <c r="M16" s="2" t="b">
        <f>VLOOKUP(A16,Model!C$2:J$93,2,FALSE)=C16</f>
        <v>1</v>
      </c>
      <c r="N16" s="5"/>
      <c r="O16" s="2" t="b">
        <f>VLOOKUP(A16,Model!C$2:J$93,3,FALSE)=H16</f>
        <v>0</v>
      </c>
      <c r="P16" s="29" t="str">
        <f>VLOOKUP(A16,Model!C$2:J$93,3,FALSE)</f>
        <v xml:space="preserve">MAXIT source: MAXIT_IFCE_SEQ_ID
RJT Source: TAX_LOT_OPN_MSTR.TAX_LOT_EXT_REFR_KEY_PRIM
</v>
      </c>
      <c r="Q16" s="29">
        <f>VLOOKUP(A16,Model!C$2:J$93,8,FALSE)</f>
        <v>9</v>
      </c>
      <c r="R16" s="2" t="b">
        <f>VLOOKUP(C16,Table!A$2:F$98,1,FALSE)=C16</f>
        <v>1</v>
      </c>
      <c r="S16" s="2" t="str">
        <f>VLOOKUP(SUBSTITUTE(A16," ","_"),View!A$2:I$106,1,FALSE)</f>
        <v>TAX_LOT_EXTERNAL_REFERENCE_KEY_PRIMARY</v>
      </c>
      <c r="T16" s="3" t="s">
        <v>57</v>
      </c>
      <c r="U16" s="5" t="s">
        <v>58</v>
      </c>
      <c r="V16" s="5" t="s">
        <v>76</v>
      </c>
      <c r="W16" s="5" t="s">
        <v>77</v>
      </c>
      <c r="X16" s="5" t="s">
        <v>48</v>
      </c>
      <c r="Y16" s="19"/>
      <c r="Z16" s="5"/>
    </row>
    <row r="17" spans="1:26" ht="45" hidden="1">
      <c r="A17" s="21" t="s">
        <v>80</v>
      </c>
      <c r="B17" s="21"/>
      <c r="C17" s="5" t="s">
        <v>81</v>
      </c>
      <c r="D17" s="5" t="s">
        <v>47</v>
      </c>
      <c r="E17" s="5" t="s">
        <v>48</v>
      </c>
      <c r="F17" s="5" t="s">
        <v>49</v>
      </c>
      <c r="G17" s="5" t="s">
        <v>48</v>
      </c>
      <c r="H17" s="27" t="s">
        <v>82</v>
      </c>
      <c r="I17" s="5"/>
      <c r="J17" s="5"/>
      <c r="K17" s="5"/>
      <c r="L17" s="5"/>
      <c r="M17" s="2" t="b">
        <f>VLOOKUP(A17,Model!C$2:J$93,2,FALSE)=C17</f>
        <v>1</v>
      </c>
      <c r="N17" s="5"/>
      <c r="O17" s="2" t="b">
        <f>VLOOKUP(A17,Model!C$2:J$93,3,FALSE)=H17</f>
        <v>0</v>
      </c>
      <c r="P17" s="29" t="str">
        <f>VLOOKUP(A17,Model!C$2:J$93,3,FALSE)</f>
        <v xml:space="preserve">source:TAXLOT_DTL_OPN.MAXIT_REL_IFCE_SEQ_ID
RJT Source: TAX_LOT_OPN_MSTR.TAX_LOT_EXT_REFR_KEY_SCDY
</v>
      </c>
      <c r="Q17" s="29">
        <f>VLOOKUP(A17,Model!C$2:J$93,8,FALSE)</f>
        <v>10</v>
      </c>
      <c r="R17" s="2" t="b">
        <f>VLOOKUP(C17,Table!A$2:F$98,1,FALSE)=C17</f>
        <v>1</v>
      </c>
      <c r="S17" s="2" t="str">
        <f>VLOOKUP(SUBSTITUTE(A17," ","_"),View!A$2:I$106,1,FALSE)</f>
        <v>TAX_LOT_EXTERNAL_REFERENCE_KEY_SECONDARY</v>
      </c>
      <c r="T17" s="3" t="s">
        <v>57</v>
      </c>
      <c r="U17" s="5" t="s">
        <v>58</v>
      </c>
      <c r="V17" s="27" t="s">
        <v>81</v>
      </c>
      <c r="W17" s="5" t="s">
        <v>47</v>
      </c>
      <c r="X17" s="5" t="s">
        <v>48</v>
      </c>
      <c r="Y17" s="19"/>
      <c r="Z17" s="5"/>
    </row>
    <row r="18" spans="1:26" ht="30" hidden="1">
      <c r="A18" s="21" t="s">
        <v>83</v>
      </c>
      <c r="B18" s="21"/>
      <c r="C18" s="5" t="s">
        <v>84</v>
      </c>
      <c r="D18" s="5" t="s">
        <v>41</v>
      </c>
      <c r="E18" s="5" t="s">
        <v>48</v>
      </c>
      <c r="F18" s="5" t="s">
        <v>43</v>
      </c>
      <c r="G18" s="5" t="s">
        <v>48</v>
      </c>
      <c r="H18" s="27" t="s">
        <v>85</v>
      </c>
      <c r="I18" s="5"/>
      <c r="J18" s="5"/>
      <c r="K18" s="5"/>
      <c r="L18" s="5"/>
      <c r="M18" s="2" t="b">
        <f>VLOOKUP(A18,Model!C$2:J$93,2,FALSE)=C18</f>
        <v>1</v>
      </c>
      <c r="N18" s="5"/>
      <c r="O18" s="2" t="b">
        <f>VLOOKUP(A18,Model!C$2:J$93,3,FALSE)=H18</f>
        <v>0</v>
      </c>
      <c r="P18" s="29" t="str">
        <f>VLOOKUP(A18,Model!C$2:J$93,3,FALSE)</f>
        <v>Source: TAXLOT_DTL_OPN.MAXIT_TXN_LOT_ID
RJT Source: TAX_LOT_OPN_MSTR.TAX_LOT_EXT_REFR_KEY_TRTY</v>
      </c>
      <c r="Q18" s="29">
        <f>VLOOKUP(A18,Model!C$2:J$93,8,FALSE)</f>
        <v>11</v>
      </c>
      <c r="R18" s="2" t="b">
        <f>VLOOKUP(C18,Table!A$2:F$98,1,FALSE)=C18</f>
        <v>1</v>
      </c>
      <c r="S18" s="2" t="str">
        <f>VLOOKUP(SUBSTITUTE(A18," ","_"),View!A$2:I$106,1,FALSE)</f>
        <v>TAX_LOT_EXTERNAL_REFERENCE_KEY_TERTIARY</v>
      </c>
      <c r="T18" s="3" t="s">
        <v>57</v>
      </c>
      <c r="U18" s="5" t="s">
        <v>58</v>
      </c>
      <c r="V18" s="27" t="s">
        <v>84</v>
      </c>
      <c r="W18" s="5" t="s">
        <v>41</v>
      </c>
      <c r="X18" s="5" t="s">
        <v>48</v>
      </c>
      <c r="Y18" s="19"/>
      <c r="Z18" s="5"/>
    </row>
    <row r="19" spans="1:26" ht="45" hidden="1">
      <c r="A19" s="21" t="s">
        <v>86</v>
      </c>
      <c r="B19" s="21"/>
      <c r="C19" s="5" t="s">
        <v>87</v>
      </c>
      <c r="D19" s="5" t="s">
        <v>41</v>
      </c>
      <c r="E19" s="5" t="s">
        <v>48</v>
      </c>
      <c r="F19" s="5" t="s">
        <v>43</v>
      </c>
      <c r="G19" s="5" t="s">
        <v>48</v>
      </c>
      <c r="H19" s="42" t="s">
        <v>88</v>
      </c>
      <c r="I19" s="5"/>
      <c r="J19" s="5"/>
      <c r="K19" s="5"/>
      <c r="L19" s="5"/>
      <c r="M19" s="2" t="b">
        <f>VLOOKUP(A19,Model!C$2:J$93,2,FALSE)=C19</f>
        <v>1</v>
      </c>
      <c r="N19" s="5"/>
      <c r="O19" s="2" t="b">
        <f>VLOOKUP(A19,Model!C$2:J$93,3,FALSE)=H19</f>
        <v>0</v>
      </c>
      <c r="P19" s="29" t="str">
        <f>VLOOKUP(A19,Model!C$2:J$93,3,FALSE)</f>
        <v xml:space="preserve">SOurce: TAXLOT_DTL_OPN.REL_LOT_ID
RJT Source: TAX_LOT_OPN_MSTR.TAX_LOT_EXT_REFR_KEY_QTRNY
</v>
      </c>
      <c r="Q19" s="29">
        <f>VLOOKUP(A19,Model!C$2:J$93,8,FALSE)</f>
        <v>12</v>
      </c>
      <c r="R19" s="2" t="b">
        <f>VLOOKUP(C19,Table!A$2:F$98,1,FALSE)=C19</f>
        <v>1</v>
      </c>
      <c r="S19" s="2" t="str">
        <f>VLOOKUP(SUBSTITUTE(A19," ","_"),View!A$2:I$106,1,FALSE)</f>
        <v>TAX_LOT_EXTERNAL_REFERENCE_KEY_QUATERNARY</v>
      </c>
      <c r="T19" s="3" t="s">
        <v>57</v>
      </c>
      <c r="U19" s="5" t="s">
        <v>58</v>
      </c>
      <c r="V19" s="27" t="s">
        <v>87</v>
      </c>
      <c r="W19" s="5" t="s">
        <v>41</v>
      </c>
      <c r="X19" s="5" t="s">
        <v>48</v>
      </c>
      <c r="Y19" s="19"/>
      <c r="Z19" s="5"/>
    </row>
    <row r="20" spans="1:26" ht="45" hidden="1">
      <c r="A20" s="21" t="s">
        <v>89</v>
      </c>
      <c r="B20" s="21"/>
      <c r="C20" s="5" t="s">
        <v>90</v>
      </c>
      <c r="D20" s="5" t="s">
        <v>91</v>
      </c>
      <c r="E20" s="5" t="s">
        <v>42</v>
      </c>
      <c r="F20" s="5" t="s">
        <v>92</v>
      </c>
      <c r="G20" s="5" t="s">
        <v>42</v>
      </c>
      <c r="H20" s="27" t="s">
        <v>93</v>
      </c>
      <c r="I20" s="5"/>
      <c r="J20" s="5"/>
      <c r="K20" s="5"/>
      <c r="L20" s="5"/>
      <c r="M20" s="2" t="b">
        <f>VLOOKUP(A20,Model!C$2:J$93,2,FALSE)=C20</f>
        <v>1</v>
      </c>
      <c r="N20" s="5"/>
      <c r="O20" s="2" t="b">
        <f>VLOOKUP(A20,Model!C$2:J$93,3,FALSE)=H20</f>
        <v>0</v>
      </c>
      <c r="P20" s="29" t="str">
        <f>VLOOKUP(A20,Model!C$2:J$93,3,FALSE)</f>
        <v xml:space="preserve">MAXIT Source: TAXLOT_DTL_OPN.END_DT
RJT Source: TAX_LOT_OPN_ASOF.EFF_TO_DT
</v>
      </c>
      <c r="Q20" s="29">
        <f>VLOOKUP(A20,Model!C$2:J$93,8,FALSE)</f>
        <v>13</v>
      </c>
      <c r="R20" s="2" t="b">
        <f>VLOOKUP(C20,Table!A$2:F$98,1,FALSE)=C20</f>
        <v>1</v>
      </c>
      <c r="S20" s="2" t="str">
        <f>VLOOKUP(SUBSTITUTE(A20," ","_"),View!A$2:I$106,1,FALSE)</f>
        <v>END_DATE</v>
      </c>
      <c r="T20" s="3" t="s">
        <v>57</v>
      </c>
      <c r="U20" s="5" t="s">
        <v>58</v>
      </c>
      <c r="V20" s="5" t="s">
        <v>94</v>
      </c>
      <c r="W20" s="5" t="s">
        <v>91</v>
      </c>
      <c r="X20" s="5" t="s">
        <v>42</v>
      </c>
      <c r="Y20" s="19"/>
      <c r="Z20" s="5"/>
    </row>
    <row r="21" spans="1:26" ht="60" hidden="1">
      <c r="A21" s="21" t="s">
        <v>95</v>
      </c>
      <c r="B21" s="21"/>
      <c r="C21" s="5" t="s">
        <v>96</v>
      </c>
      <c r="D21" s="5" t="s">
        <v>91</v>
      </c>
      <c r="E21" s="5" t="s">
        <v>48</v>
      </c>
      <c r="F21" s="5" t="s">
        <v>92</v>
      </c>
      <c r="G21" s="5" t="s">
        <v>48</v>
      </c>
      <c r="H21" s="27" t="s">
        <v>97</v>
      </c>
      <c r="I21" s="5"/>
      <c r="J21" s="5"/>
      <c r="K21" s="5"/>
      <c r="L21" s="5"/>
      <c r="M21" s="2" t="b">
        <f>VLOOKUP(A21,Model!C$2:J$93,2,FALSE)=C21</f>
        <v>1</v>
      </c>
      <c r="N21" s="5"/>
      <c r="O21" s="2" t="b">
        <f>VLOOKUP(A21,Model!C$2:J$93,3,FALSE)=H21</f>
        <v>0</v>
      </c>
      <c r="P21" s="29" t="str">
        <f>VLOOKUP(A21,Model!C$2:J$93,3,FALSE)</f>
        <v xml:space="preserve">MAXIT Source: TAXLOT_DTL_OPN.EFF_DT_x000D_
RJT Source: TAX_LOT_OPN_ASOF.EFF_FM_DT_x000D_
_x000D_
</v>
      </c>
      <c r="Q21" s="29">
        <f>VLOOKUP(A21,Model!C$2:J$93,8,FALSE)</f>
        <v>14</v>
      </c>
      <c r="R21" s="2" t="b">
        <f>VLOOKUP(C21,Table!A$2:F$98,1,FALSE)=C21</f>
        <v>1</v>
      </c>
      <c r="S21" s="2" t="str">
        <f>VLOOKUP(SUBSTITUTE(A21," ","_"),View!A$2:I$106,1,FALSE)</f>
        <v>EFFECTIVE_DATE</v>
      </c>
      <c r="T21" s="3" t="s">
        <v>57</v>
      </c>
      <c r="U21" s="5" t="s">
        <v>58</v>
      </c>
      <c r="V21" s="5" t="s">
        <v>98</v>
      </c>
      <c r="W21" s="5" t="s">
        <v>91</v>
      </c>
      <c r="X21" s="5" t="s">
        <v>48</v>
      </c>
      <c r="Y21" s="19"/>
      <c r="Z21" s="5"/>
    </row>
    <row r="22" spans="1:26" s="39" customFormat="1" ht="90" hidden="1">
      <c r="A22" s="21" t="s">
        <v>99</v>
      </c>
      <c r="B22" s="21"/>
      <c r="C22" s="21" t="s">
        <v>100</v>
      </c>
      <c r="D22" s="21" t="s">
        <v>101</v>
      </c>
      <c r="E22" s="21" t="s">
        <v>48</v>
      </c>
      <c r="F22" s="21" t="s">
        <v>102</v>
      </c>
      <c r="G22" s="21" t="s">
        <v>48</v>
      </c>
      <c r="H22" s="29" t="s">
        <v>103</v>
      </c>
      <c r="I22" s="21"/>
      <c r="J22" s="21"/>
      <c r="K22" s="21"/>
      <c r="L22" s="21"/>
      <c r="M22" s="2" t="b">
        <f>VLOOKUP(A22,Model!C$2:J$93,2,FALSE)=C22</f>
        <v>1</v>
      </c>
      <c r="N22" s="21"/>
      <c r="O22" s="2" t="b">
        <f>VLOOKUP(A22,Model!C$2:J$93,3,FALSE)=H22</f>
        <v>0</v>
      </c>
      <c r="P22" s="29" t="str">
        <f>VLOOKUP(A22,Model!C$2:J$93,3,FALSE)</f>
        <v>MAXIT Source: TAXLOT_DTL_OPN.AC_TP
RJT Source: TAX_LOT_OPN_MSTR.ACG_TP_CODE
Lookup on Accounting Type Dimension
Accounting type name (e.g., cash account,margin account)</v>
      </c>
      <c r="Q22" s="29">
        <f>VLOOKUP(A22,Model!C$2:J$93,8,FALSE)</f>
        <v>16</v>
      </c>
      <c r="R22" s="2" t="b">
        <f>VLOOKUP(C22,Table!A$2:F$98,1,FALSE)=C22</f>
        <v>1</v>
      </c>
      <c r="S22" s="2" t="str">
        <f>VLOOKUP(SUBSTITUTE(A22," ","_"),View!A$2:I$106,1,FALSE)</f>
        <v>ACCOUNTING_TYPE_NAME</v>
      </c>
      <c r="T22" s="3" t="s">
        <v>51</v>
      </c>
      <c r="U22" s="21" t="s">
        <v>104</v>
      </c>
      <c r="V22" s="21" t="s">
        <v>100</v>
      </c>
      <c r="W22" s="21" t="s">
        <v>101</v>
      </c>
      <c r="X22" s="21" t="s">
        <v>48</v>
      </c>
      <c r="Y22" s="38" t="s">
        <v>105</v>
      </c>
      <c r="Z22" s="24"/>
    </row>
    <row r="23" spans="1:26" ht="75" hidden="1">
      <c r="A23" s="21" t="s">
        <v>106</v>
      </c>
      <c r="B23" s="21"/>
      <c r="C23" s="5" t="s">
        <v>107</v>
      </c>
      <c r="D23" s="5" t="s">
        <v>91</v>
      </c>
      <c r="E23" s="5" t="s">
        <v>48</v>
      </c>
      <c r="F23" s="5" t="s">
        <v>92</v>
      </c>
      <c r="G23" s="5" t="s">
        <v>48</v>
      </c>
      <c r="H23" s="41" t="s">
        <v>108</v>
      </c>
      <c r="I23" s="5"/>
      <c r="J23" s="5"/>
      <c r="K23" s="5"/>
      <c r="L23" s="5"/>
      <c r="M23" s="2" t="b">
        <f>VLOOKUP(A23,Model!C$2:J$93,2,FALSE)=C23</f>
        <v>1</v>
      </c>
      <c r="N23" s="5"/>
      <c r="O23" s="2" t="b">
        <f>VLOOKUP(A23,Model!C$2:J$93,3,FALSE)=H23</f>
        <v>0</v>
      </c>
      <c r="P23" s="29" t="str">
        <f>VLOOKUP(A23,Model!C$2:J$93,3,FALSE)</f>
        <v xml:space="preserve">Date on which the lot was acquired_x000D_
MAXIT source: TAXLOT_DTL_OPN.ACQ_DT_x000D_
RJT Source:TAX_LOT_OPN_MSTR.TD_x000D_
_x000D_
</v>
      </c>
      <c r="Q23" s="29">
        <f>VLOOKUP(A23,Model!C$2:J$93,8,FALSE)</f>
        <v>19</v>
      </c>
      <c r="R23" s="2" t="b">
        <f>VLOOKUP(C23,Table!A$2:F$98,1,FALSE)=C23</f>
        <v>1</v>
      </c>
      <c r="S23" s="2" t="str">
        <f>VLOOKUP(SUBSTITUTE(A23," ","_"),View!A$2:I$106,1,FALSE)</f>
        <v>ACQUIRED_DATE</v>
      </c>
      <c r="T23" s="3" t="s">
        <v>57</v>
      </c>
      <c r="U23" s="5" t="s">
        <v>58</v>
      </c>
      <c r="V23" s="5" t="s">
        <v>107</v>
      </c>
      <c r="W23" s="5" t="s">
        <v>91</v>
      </c>
      <c r="X23" s="5" t="s">
        <v>48</v>
      </c>
      <c r="Y23" s="19"/>
      <c r="Z23" s="5"/>
    </row>
    <row r="24" spans="1:26" ht="61.5" hidden="1" customHeight="1">
      <c r="A24" s="21" t="s">
        <v>109</v>
      </c>
      <c r="B24" s="21"/>
      <c r="C24" s="5" t="s">
        <v>110</v>
      </c>
      <c r="D24" s="5" t="s">
        <v>111</v>
      </c>
      <c r="E24" s="5" t="s">
        <v>48</v>
      </c>
      <c r="F24" s="5" t="s">
        <v>112</v>
      </c>
      <c r="G24" s="5" t="s">
        <v>48</v>
      </c>
      <c r="H24" s="41" t="s">
        <v>113</v>
      </c>
      <c r="I24" s="5"/>
      <c r="J24" s="5"/>
      <c r="K24" s="5"/>
      <c r="L24" s="5"/>
      <c r="M24" s="2" t="b">
        <f>VLOOKUP(A24,Model!C$2:J$93,2,FALSE)=C24</f>
        <v>1</v>
      </c>
      <c r="N24" s="5"/>
      <c r="O24" s="2" t="b">
        <f>VLOOKUP(A24,Model!C$2:J$93,3,FALSE)=H24</f>
        <v>0</v>
      </c>
      <c r="P24" s="29" t="str">
        <f>VLOOKUP(A24,Model!C$2:J$93,3,FALSE)</f>
        <v xml:space="preserve">Adjusted cost for the Lot
MAXIT source: TAXLOT_DTL_OPN.ADJ_COST
RJT Source: TAX_LOT_OPN_ASOF	NML_CCY_ASOF_ADJ_COST_AMT
</v>
      </c>
      <c r="Q24" s="29">
        <f>VLOOKUP(A24,Model!C$2:J$93,8,FALSE)</f>
        <v>20</v>
      </c>
      <c r="R24" s="2" t="b">
        <f>VLOOKUP(C24,Table!A$2:F$98,1,FALSE)=C24</f>
        <v>1</v>
      </c>
      <c r="S24" s="2" t="str">
        <f>VLOOKUP(SUBSTITUTE(A24," ","_"),View!A$2:I$106,1,FALSE)</f>
        <v>ADJUSTED_COST</v>
      </c>
      <c r="T24" s="3" t="s">
        <v>57</v>
      </c>
      <c r="U24" s="5" t="s">
        <v>58</v>
      </c>
      <c r="V24" s="5" t="s">
        <v>114</v>
      </c>
      <c r="W24" s="5" t="s">
        <v>111</v>
      </c>
      <c r="X24" s="5" t="s">
        <v>48</v>
      </c>
      <c r="Y24" s="19" t="s">
        <v>115</v>
      </c>
      <c r="Z24" s="5"/>
    </row>
    <row r="25" spans="1:26" ht="60" hidden="1">
      <c r="A25" s="21" t="s">
        <v>116</v>
      </c>
      <c r="B25" s="21"/>
      <c r="C25" s="5" t="s">
        <v>117</v>
      </c>
      <c r="D25" s="5" t="s">
        <v>118</v>
      </c>
      <c r="E25" s="5" t="s">
        <v>48</v>
      </c>
      <c r="F25" s="5" t="s">
        <v>119</v>
      </c>
      <c r="G25" s="5" t="s">
        <v>48</v>
      </c>
      <c r="H25" s="41" t="s">
        <v>120</v>
      </c>
      <c r="I25" s="5"/>
      <c r="J25" s="5"/>
      <c r="K25" s="5"/>
      <c r="L25" s="5"/>
      <c r="M25" s="2" t="b">
        <f>VLOOKUP(A25,Model!C$2:J$93,2,FALSE)=C25</f>
        <v>1</v>
      </c>
      <c r="N25" s="5"/>
      <c r="O25" s="2" t="b">
        <f>VLOOKUP(A25,Model!C$2:J$93,3,FALSE)=H25</f>
        <v>0</v>
      </c>
      <c r="P25" s="29" t="str">
        <f>VLOOKUP(A25,Model!C$2:J$93,3,FALSE)</f>
        <v xml:space="preserve">MAXIT Source: TAXLOT_DTL_OPN.CCY_CODE
RJT Source: TAX_LOT_OPN_ASOF.NML_ISO_CCY_CODE
</v>
      </c>
      <c r="Q25" s="29">
        <f>VLOOKUP(A25,Model!C$2:J$93,8,FALSE)</f>
        <v>23</v>
      </c>
      <c r="R25" s="2" t="b">
        <f>VLOOKUP(C25,Table!A$2:F$98,1,FALSE)=C25</f>
        <v>1</v>
      </c>
      <c r="S25" s="2" t="str">
        <f>VLOOKUP(SUBSTITUTE(A25," ","_"),View!A$2:I$106,1,FALSE)</f>
        <v>CURRENCY_CODE</v>
      </c>
      <c r="T25" s="3" t="s">
        <v>57</v>
      </c>
      <c r="U25" s="5" t="s">
        <v>58</v>
      </c>
      <c r="V25" s="5" t="s">
        <v>121</v>
      </c>
      <c r="W25" s="5" t="s">
        <v>118</v>
      </c>
      <c r="X25" s="5" t="s">
        <v>48</v>
      </c>
      <c r="Y25" s="19"/>
      <c r="Z25" s="5"/>
    </row>
    <row r="26" spans="1:26" ht="45" hidden="1">
      <c r="A26" s="21" t="s">
        <v>122</v>
      </c>
      <c r="B26" s="21"/>
      <c r="C26" s="5" t="s">
        <v>123</v>
      </c>
      <c r="D26" s="5" t="s">
        <v>47</v>
      </c>
      <c r="E26" s="5" t="s">
        <v>48</v>
      </c>
      <c r="F26" s="5" t="s">
        <v>49</v>
      </c>
      <c r="G26" s="5" t="s">
        <v>48</v>
      </c>
      <c r="H26" s="41" t="s">
        <v>124</v>
      </c>
      <c r="I26" s="5"/>
      <c r="J26" s="5"/>
      <c r="K26" s="5"/>
      <c r="L26" s="5"/>
      <c r="M26" s="2" t="b">
        <f>VLOOKUP(A26,Model!C$2:J$93,2,FALSE)=C26</f>
        <v>1</v>
      </c>
      <c r="N26" s="5"/>
      <c r="O26" s="2" t="b">
        <f>VLOOKUP(A26,Model!C$2:J$93,3,FALSE)=H26</f>
        <v>0</v>
      </c>
      <c r="P26" s="29" t="str">
        <f>VLOOKUP(A26,Model!C$2:J$93,3,FALSE)</f>
        <v xml:space="preserve">MAXIT Source:TAXLOT_DTL_OPN.CTF_NUM
RJT Source: TAX_LOT_OPN_MSTR.TAX_LOT_CTF_NUM
</v>
      </c>
      <c r="Q26" s="29">
        <f>VLOOKUP(A26,Model!C$2:J$93,8,FALSE)</f>
        <v>24</v>
      </c>
      <c r="R26" s="2" t="b">
        <f>VLOOKUP(C26,Table!A$2:F$98,1,FALSE)=C26</f>
        <v>1</v>
      </c>
      <c r="S26" s="2" t="str">
        <f>VLOOKUP(SUBSTITUTE(A26," ","_"),View!A$2:I$106,1,FALSE)</f>
        <v>CERTIFICATE_NUMBER</v>
      </c>
      <c r="T26" s="3" t="s">
        <v>57</v>
      </c>
      <c r="U26" s="5" t="s">
        <v>58</v>
      </c>
      <c r="V26" s="5" t="s">
        <v>125</v>
      </c>
      <c r="W26" s="5" t="s">
        <v>47</v>
      </c>
      <c r="X26" s="5" t="s">
        <v>48</v>
      </c>
      <c r="Y26" s="19"/>
      <c r="Z26" s="5"/>
    </row>
    <row r="27" spans="1:26" ht="60" hidden="1">
      <c r="A27" s="21" t="s">
        <v>126</v>
      </c>
      <c r="B27" s="21"/>
      <c r="C27" s="5" t="s">
        <v>127</v>
      </c>
      <c r="D27" s="5" t="s">
        <v>47</v>
      </c>
      <c r="E27" s="5" t="s">
        <v>48</v>
      </c>
      <c r="F27" s="5" t="s">
        <v>49</v>
      </c>
      <c r="G27" s="5" t="s">
        <v>48</v>
      </c>
      <c r="H27" s="41" t="s">
        <v>128</v>
      </c>
      <c r="I27" s="5"/>
      <c r="J27" s="5"/>
      <c r="K27" s="5"/>
      <c r="L27" s="5"/>
      <c r="M27" s="2" t="b">
        <f>VLOOKUP(A27,Model!C$2:J$93,2,FALSE)=C27</f>
        <v>1</v>
      </c>
      <c r="N27" s="5"/>
      <c r="O27" s="2" t="b">
        <f>VLOOKUP(A27,Model!C$2:J$93,3,FALSE)=H27</f>
        <v>0</v>
      </c>
      <c r="P27" s="29" t="str">
        <f>VLOOKUP(A27,Model!C$2:J$93,3,FALSE)</f>
        <v xml:space="preserve">MAXIT Source:TAXLOT_DTL_OPN.CTF_NUM_PFX
RJT Source: TAX_LOT_OPN_MSTR.TAX_LOT_CTF_NUM_PFX
</v>
      </c>
      <c r="Q27" s="29">
        <f>VLOOKUP(A27,Model!C$2:J$93,8,FALSE)</f>
        <v>25</v>
      </c>
      <c r="R27" s="2" t="b">
        <f>VLOOKUP(C27,Table!A$2:F$98,1,FALSE)=C27</f>
        <v>1</v>
      </c>
      <c r="S27" s="2" t="str">
        <f>VLOOKUP(SUBSTITUTE(A27," ","_"),View!A$2:I$106,1,FALSE)</f>
        <v>CERTIFICATE_NUMBER_PREFIX</v>
      </c>
      <c r="T27" s="3" t="s">
        <v>57</v>
      </c>
      <c r="U27" s="5" t="s">
        <v>58</v>
      </c>
      <c r="V27" s="5" t="s">
        <v>129</v>
      </c>
      <c r="W27" s="5" t="s">
        <v>47</v>
      </c>
      <c r="X27" s="5" t="s">
        <v>48</v>
      </c>
      <c r="Y27" s="19"/>
      <c r="Z27" s="5"/>
    </row>
    <row r="28" spans="1:26" ht="109.5" hidden="1" customHeight="1">
      <c r="A28" s="21" t="s">
        <v>130</v>
      </c>
      <c r="B28" s="21"/>
      <c r="C28" s="5" t="s">
        <v>131</v>
      </c>
      <c r="D28" s="5" t="s">
        <v>71</v>
      </c>
      <c r="E28" s="5" t="s">
        <v>48</v>
      </c>
      <c r="F28" s="5" t="s">
        <v>72</v>
      </c>
      <c r="G28" s="5" t="s">
        <v>48</v>
      </c>
      <c r="H28" s="27" t="s">
        <v>132</v>
      </c>
      <c r="I28" s="5"/>
      <c r="J28" s="5"/>
      <c r="K28" s="5"/>
      <c r="L28" s="5"/>
      <c r="M28" s="2" t="b">
        <f>VLOOKUP(A28,Model!C$2:J$93,2,FALSE)=C28</f>
        <v>1</v>
      </c>
      <c r="N28" s="5"/>
      <c r="O28" s="2" t="b">
        <f>VLOOKUP(A28,Model!C$2:J$93,3,FALSE)=H28</f>
        <v>0</v>
      </c>
      <c r="P28" s="29" t="str">
        <f>VLOOKUP(A28,Model!C$2:J$93,3,FALSE)</f>
        <v xml:space="preserve">Cost Basis Legislation Coverage: ?covered? securities are those impacted by the cost basis legislation (which is dependent on the security type and acquisition date) and subject to the new IRS reporting requirements.
U = 	Uncovered Tax Lot
C = 	Covered Tax Lot
MAXIT Source: TAXLOT_DTL_OPN.CVRD_UNCVRD
RJT Source: TAX_LOT_OPN_MSTR.CVRD_F
</v>
      </c>
      <c r="Q28" s="29">
        <f>VLOOKUP(A28,Model!C$2:J$93,8,FALSE)</f>
        <v>26</v>
      </c>
      <c r="R28" s="2" t="b">
        <f>VLOOKUP(C28,Table!A$2:F$98,1,FALSE)=C28</f>
        <v>1</v>
      </c>
      <c r="S28" s="2" t="str">
        <f>VLOOKUP(SUBSTITUTE(A28," ","_"),View!A$2:I$106,1,FALSE)</f>
        <v>COST_BASIS_LEGISLATION_COVERAGE_CODE</v>
      </c>
      <c r="T28" s="3" t="s">
        <v>57</v>
      </c>
      <c r="U28" s="5" t="s">
        <v>58</v>
      </c>
      <c r="V28" s="5" t="s">
        <v>133</v>
      </c>
      <c r="W28" s="5" t="s">
        <v>71</v>
      </c>
      <c r="X28" s="5" t="s">
        <v>48</v>
      </c>
      <c r="Y28" s="19"/>
      <c r="Z28" s="5"/>
    </row>
    <row r="29" spans="1:26" ht="90" hidden="1">
      <c r="A29" s="21" t="s">
        <v>134</v>
      </c>
      <c r="B29" s="21"/>
      <c r="C29" s="5" t="s">
        <v>135</v>
      </c>
      <c r="D29" s="5" t="s">
        <v>111</v>
      </c>
      <c r="E29" s="5" t="s">
        <v>48</v>
      </c>
      <c r="F29" s="5" t="s">
        <v>112</v>
      </c>
      <c r="G29" s="5" t="s">
        <v>48</v>
      </c>
      <c r="H29" s="43" t="s">
        <v>136</v>
      </c>
      <c r="I29" s="5"/>
      <c r="J29" s="5"/>
      <c r="K29" s="5"/>
      <c r="L29" s="5"/>
      <c r="M29" s="2" t="b">
        <f>VLOOKUP(A29,Model!C$2:J$93,2,FALSE)=C29</f>
        <v>1</v>
      </c>
      <c r="N29" s="5"/>
      <c r="O29" s="2" t="b">
        <f>VLOOKUP(A29,Model!C$2:J$93,3,FALSE)=H29</f>
        <v>0</v>
      </c>
      <c r="P29" s="29" t="str">
        <f>VLOOKUP(A29,Model!C$2:J$93,3,FALSE)</f>
        <v xml:space="preserve">MAXIT Source: TAXLOT_DTL_OPN.DISALWD_WASHSALE_AMT
RJT Source: TAX_LOT_OPN_MSTR.NML_CCY_WASH_SALE_AMT
</v>
      </c>
      <c r="Q29" s="29">
        <f>VLOOKUP(A29,Model!C$2:J$93,8,FALSE)</f>
        <v>27</v>
      </c>
      <c r="R29" s="2" t="b">
        <f>VLOOKUP(C29,Table!A$2:F$98,1,FALSE)=C29</f>
        <v>1</v>
      </c>
      <c r="S29" s="2" t="str">
        <f>VLOOKUP(SUBSTITUTE(A29," ","_"),View!A$2:I$106,1,FALSE)</f>
        <v>DISALLOWED_WASH_SALE_AMOUNT</v>
      </c>
      <c r="T29" s="3" t="s">
        <v>57</v>
      </c>
      <c r="U29" s="5" t="s">
        <v>58</v>
      </c>
      <c r="V29" s="5" t="s">
        <v>137</v>
      </c>
      <c r="W29" s="5" t="s">
        <v>111</v>
      </c>
      <c r="X29" s="5" t="s">
        <v>48</v>
      </c>
      <c r="Y29" s="19"/>
      <c r="Z29" s="5"/>
    </row>
    <row r="30" spans="1:26" ht="120" hidden="1">
      <c r="A30" s="21" t="s">
        <v>138</v>
      </c>
      <c r="B30" s="21"/>
      <c r="C30" s="5" t="s">
        <v>139</v>
      </c>
      <c r="D30" s="5" t="s">
        <v>111</v>
      </c>
      <c r="E30" s="5" t="s">
        <v>48</v>
      </c>
      <c r="F30" s="5" t="s">
        <v>112</v>
      </c>
      <c r="G30" s="5" t="s">
        <v>48</v>
      </c>
      <c r="H30" s="41" t="s">
        <v>140</v>
      </c>
      <c r="I30" s="5"/>
      <c r="J30" s="5"/>
      <c r="K30" s="5"/>
      <c r="L30" s="5"/>
      <c r="M30" s="2" t="b">
        <f>VLOOKUP(A30,Model!C$2:J$93,2,FALSE)=C30</f>
        <v>1</v>
      </c>
      <c r="N30" s="5"/>
      <c r="O30" s="2" t="b">
        <f>VLOOKUP(A30,Model!C$2:J$93,3,FALSE)=H30</f>
        <v>0</v>
      </c>
      <c r="P30" s="29" t="str">
        <f>VLOOKUP(A30,Model!C$2:J$93,3,FALSE)</f>
        <v xml:space="preserve">
MAXIT Source: TAXLOT_DTL_OPN.EXG_RATE
RJT Source: TAX_LOT_OPN_ASOF.SBC_EXG_RATE
</v>
      </c>
      <c r="Q30" s="29">
        <f>VLOOKUP(A30,Model!C$2:J$93,8,FALSE)</f>
        <v>28</v>
      </c>
      <c r="R30" s="2" t="b">
        <f>VLOOKUP(C30,Table!A$2:F$98,1,FALSE)=C30</f>
        <v>1</v>
      </c>
      <c r="S30" s="2" t="str">
        <f>VLOOKUP(SUBSTITUTE(A30," ","_"),View!A$2:I$106,1,FALSE)</f>
        <v>EXCHANGE_RATE</v>
      </c>
      <c r="T30" s="3" t="s">
        <v>57</v>
      </c>
      <c r="U30" s="5" t="s">
        <v>58</v>
      </c>
      <c r="V30" s="5" t="s">
        <v>141</v>
      </c>
      <c r="W30" s="5" t="s">
        <v>111</v>
      </c>
      <c r="X30" s="5" t="s">
        <v>48</v>
      </c>
      <c r="Y30" s="19"/>
      <c r="Z30" s="5"/>
    </row>
    <row r="31" spans="1:26" ht="65.25" hidden="1" customHeight="1">
      <c r="A31" s="21" t="s">
        <v>142</v>
      </c>
      <c r="B31" s="21"/>
      <c r="C31" s="5" t="s">
        <v>143</v>
      </c>
      <c r="D31" s="5" t="s">
        <v>111</v>
      </c>
      <c r="E31" s="5" t="s">
        <v>48</v>
      </c>
      <c r="F31" s="5" t="s">
        <v>112</v>
      </c>
      <c r="G31" s="5" t="s">
        <v>48</v>
      </c>
      <c r="H31" s="41" t="s">
        <v>144</v>
      </c>
      <c r="I31" s="5"/>
      <c r="J31" s="5"/>
      <c r="K31" s="5"/>
      <c r="L31" s="5"/>
      <c r="M31" s="2" t="b">
        <f>VLOOKUP(A31,Model!C$2:J$93,2,FALSE)=C31</f>
        <v>1</v>
      </c>
      <c r="N31" s="5"/>
      <c r="O31" s="2" t="b">
        <f>VLOOKUP(A31,Model!C$2:J$93,3,FALSE)=H31</f>
        <v>0</v>
      </c>
      <c r="P31" s="29" t="str">
        <f>VLOOKUP(A31,Model!C$2:J$93,3,FALSE)</f>
        <v xml:space="preserve">MAXIT Source: TAXLOT_DTL_OPN.FMV
RJT SOurce: TAX_LOT_OPN_ASOF.NML_CCY_ASOF_FAIR_MKT_VAL_AMT
For MAXIT (Brokerage) Fair market value of the tax lot at the point of gifting or inheritance
Source: FMV
For gifted or inherited transactions only.  
Sourced from:
1) account to account RAD Activity receive record sent to Maxit from RJ
2) CBRS record received from contra firm
3) manual entry by business 
</v>
      </c>
      <c r="Q31" s="29">
        <f>VLOOKUP(A31,Model!C$2:J$93,8,FALSE)</f>
        <v>29</v>
      </c>
      <c r="R31" s="2" t="b">
        <f>VLOOKUP(C31,Table!A$2:F$98,1,FALSE)=C31</f>
        <v>1</v>
      </c>
      <c r="S31" s="2" t="str">
        <f>VLOOKUP(SUBSTITUTE(A31," ","_"),View!A$2:I$106,1,FALSE)</f>
        <v>FAIR_MARKET_VALUE_OF_GIFT_OR_INHERITANCE</v>
      </c>
      <c r="T31" s="3" t="s">
        <v>57</v>
      </c>
      <c r="U31" s="5" t="s">
        <v>58</v>
      </c>
      <c r="V31" s="5" t="s">
        <v>145</v>
      </c>
      <c r="W31" s="5" t="s">
        <v>111</v>
      </c>
      <c r="X31" s="5" t="s">
        <v>48</v>
      </c>
      <c r="Y31" s="19" t="s">
        <v>146</v>
      </c>
      <c r="Z31" s="5"/>
    </row>
    <row r="32" spans="1:26" ht="105" hidden="1">
      <c r="A32" s="21" t="s">
        <v>147</v>
      </c>
      <c r="B32" s="21"/>
      <c r="C32" s="5" t="s">
        <v>148</v>
      </c>
      <c r="D32" s="5" t="s">
        <v>91</v>
      </c>
      <c r="E32" s="5" t="s">
        <v>48</v>
      </c>
      <c r="F32" s="5" t="s">
        <v>92</v>
      </c>
      <c r="G32" s="5" t="s">
        <v>48</v>
      </c>
      <c r="H32" s="41" t="s">
        <v>149</v>
      </c>
      <c r="I32" s="5"/>
      <c r="J32" s="5"/>
      <c r="K32" s="5"/>
      <c r="L32" s="5"/>
      <c r="M32" s="2" t="b">
        <f>VLOOKUP(A32,Model!C$2:J$93,2,FALSE)=C32</f>
        <v>1</v>
      </c>
      <c r="N32" s="5"/>
      <c r="O32" s="2" t="b">
        <f>VLOOKUP(A32,Model!C$2:J$93,3,FALSE)=H32</f>
        <v>0</v>
      </c>
      <c r="P32" s="29" t="str">
        <f>VLOOKUP(A32,Model!C$2:J$93,3,FALSE)</f>
        <v xml:space="preserve">MAXIT Source: TAXLOT_DTL_OPN.GIFT_DT
RJT Source: TAX_LOT_OPN_MSTR.GIFT_DT
For gifted tax lots this gives date of gift.
Source: GIFT_DT
</v>
      </c>
      <c r="Q32" s="29">
        <f>VLOOKUP(A32,Model!C$2:J$93,8,FALSE)</f>
        <v>30</v>
      </c>
      <c r="R32" s="2" t="b">
        <f>VLOOKUP(C32,Table!A$2:F$98,1,FALSE)=C32</f>
        <v>1</v>
      </c>
      <c r="S32" s="2" t="str">
        <f>VLOOKUP(SUBSTITUTE(A32," ","_"),View!A$2:I$106,1,FALSE)</f>
        <v>GIFT_DATE</v>
      </c>
      <c r="T32" s="3" t="s">
        <v>57</v>
      </c>
      <c r="U32" s="5" t="s">
        <v>58</v>
      </c>
      <c r="V32" s="5" t="s">
        <v>148</v>
      </c>
      <c r="W32" s="5" t="s">
        <v>91</v>
      </c>
      <c r="X32" s="5" t="s">
        <v>48</v>
      </c>
      <c r="Y32" s="19"/>
      <c r="Z32" s="5"/>
    </row>
    <row r="33" spans="1:26" ht="88.5" hidden="1" customHeight="1">
      <c r="A33" s="21" t="s">
        <v>150</v>
      </c>
      <c r="B33" s="21"/>
      <c r="C33" s="5" t="s">
        <v>151</v>
      </c>
      <c r="D33" s="5" t="s">
        <v>91</v>
      </c>
      <c r="E33" s="5" t="s">
        <v>48</v>
      </c>
      <c r="F33" s="5" t="s">
        <v>92</v>
      </c>
      <c r="G33" s="5" t="s">
        <v>48</v>
      </c>
      <c r="H33" s="27" t="s">
        <v>152</v>
      </c>
      <c r="I33" s="5"/>
      <c r="J33" s="5"/>
      <c r="K33" s="5"/>
      <c r="L33" s="5"/>
      <c r="M33" s="2" t="b">
        <f>VLOOKUP(A33,Model!C$2:J$93,2,FALSE)=C33</f>
        <v>1</v>
      </c>
      <c r="N33" s="5"/>
      <c r="O33" s="2" t="b">
        <f>VLOOKUP(A33,Model!C$2:J$93,3,FALSE)=H33</f>
        <v>0</v>
      </c>
      <c r="P33" s="29" t="str">
        <f>VLOOKUP(A33,Model!C$2:J$93,3,FALSE)</f>
        <v xml:space="preserve">Holding date of the opening tax lot.  Is available on the sell transaction as well.
Note: This should coincide with the acquisition date unless the sale is affected by an action in which the acquisition date changes but the holding date stays the same.  i.e. wash sale, gifts, etc.)
Used to calculate the term for most cases
MAXIT Source: TAXLOT_DTL_OPN.HLDG_DT
RJT Source: TAX_LOT_OPN_MSTR.POS_INCPTN_DT
</v>
      </c>
      <c r="Q33" s="29">
        <f>VLOOKUP(A33,Model!C$2:J$93,8,FALSE)</f>
        <v>31</v>
      </c>
      <c r="R33" s="2" t="b">
        <f>VLOOKUP(C33,Table!A$2:F$98,1,FALSE)=C33</f>
        <v>1</v>
      </c>
      <c r="S33" s="2" t="str">
        <f>VLOOKUP(SUBSTITUTE(A33," ","_"),View!A$2:I$106,1,FALSE)</f>
        <v>POSITION_INCEPTION_DATE</v>
      </c>
      <c r="T33" s="3" t="s">
        <v>57</v>
      </c>
      <c r="U33" s="5" t="s">
        <v>58</v>
      </c>
      <c r="V33" s="5" t="s">
        <v>151</v>
      </c>
      <c r="W33" s="5" t="s">
        <v>91</v>
      </c>
      <c r="X33" s="5" t="s">
        <v>48</v>
      </c>
      <c r="Y33" s="19"/>
      <c r="Z33" s="5"/>
    </row>
    <row r="34" spans="1:26" ht="115.5" hidden="1" customHeight="1">
      <c r="A34" s="21" t="s">
        <v>153</v>
      </c>
      <c r="B34" s="21"/>
      <c r="C34" s="5" t="s">
        <v>154</v>
      </c>
      <c r="D34" s="5" t="s">
        <v>71</v>
      </c>
      <c r="E34" s="5" t="s">
        <v>48</v>
      </c>
      <c r="F34" s="5" t="s">
        <v>72</v>
      </c>
      <c r="G34" s="5" t="s">
        <v>48</v>
      </c>
      <c r="H34" s="27" t="s">
        <v>155</v>
      </c>
      <c r="I34" s="5"/>
      <c r="J34" s="5"/>
      <c r="K34" s="5"/>
      <c r="L34" s="5"/>
      <c r="M34" s="2" t="b">
        <f>VLOOKUP(A34,Model!C$2:J$93,2,FALSE)=C34</f>
        <v>1</v>
      </c>
      <c r="N34" s="5"/>
      <c r="O34" s="2" t="b">
        <f>VLOOKUP(A34,Model!C$2:J$93,3,FALSE)=H34</f>
        <v>0</v>
      </c>
      <c r="P34" s="29" t="str">
        <f>VLOOKUP(A34,Model!C$2:J$93,3,FALSE)</f>
        <v xml:space="preserve">A value that represents the tax lot being a long or short position.
Valid Values:
L = Long
S = Short
MAXIT Source: TAXLOT_DTL_OPN.LONG_SHRT_POS
rjt sOURCE: TAX_LOT_OPN_MSTR.POS_LONG_SHRT_CODE
</v>
      </c>
      <c r="Q34" s="29">
        <f>VLOOKUP(A34,Model!C$2:J$93,8,FALSE)</f>
        <v>32</v>
      </c>
      <c r="R34" s="2" t="b">
        <f>VLOOKUP(C34,Table!A$2:F$98,1,FALSE)=C34</f>
        <v>1</v>
      </c>
      <c r="S34" s="2" t="str">
        <f>VLOOKUP(SUBSTITUTE(A34," ","_"),View!A$2:I$106,1,FALSE)</f>
        <v>LONG_SHORT_POSITION_CODE</v>
      </c>
      <c r="T34" s="3" t="s">
        <v>57</v>
      </c>
      <c r="U34" s="5" t="s">
        <v>58</v>
      </c>
      <c r="V34" s="5" t="s">
        <v>156</v>
      </c>
      <c r="W34" s="5" t="s">
        <v>71</v>
      </c>
      <c r="X34" s="5" t="s">
        <v>48</v>
      </c>
      <c r="Y34" s="19"/>
      <c r="Z34" s="5"/>
    </row>
    <row r="35" spans="1:26" ht="89.25" customHeight="1">
      <c r="A35" s="21" t="s">
        <v>157</v>
      </c>
      <c r="B35" s="21"/>
      <c r="C35" s="5" t="s">
        <v>158</v>
      </c>
      <c r="D35" s="5" t="s">
        <v>71</v>
      </c>
      <c r="E35" s="5" t="s">
        <v>48</v>
      </c>
      <c r="F35" s="5" t="s">
        <v>72</v>
      </c>
      <c r="G35" s="5" t="s">
        <v>48</v>
      </c>
      <c r="H35" s="42" t="s">
        <v>159</v>
      </c>
      <c r="I35" s="5"/>
      <c r="J35" s="5"/>
      <c r="K35" s="5"/>
      <c r="L35" s="5"/>
      <c r="M35" s="2" t="b">
        <f>VLOOKUP(A35,Model!C$2:J$93,2,FALSE)=C35</f>
        <v>1</v>
      </c>
      <c r="N35" s="5"/>
      <c r="O35" s="2" t="b">
        <f>VLOOKUP(A35,Model!C$2:J$93,3,FALSE)=H35</f>
        <v>0</v>
      </c>
      <c r="P35" s="29" t="str">
        <f>VLOOKUP(A35,Model!C$2:J$93,3,FALSE)</f>
        <v xml:space="preserve">MAXIT Source: TAXLOT_DTL_OPN.LOSS_NOT_ALLOWED
RJT Source: None
In a cash and stock merger the client may not be allowed to take a loss on the disposition of the old stock, any losses are rolled into the new stock. Merger / Acquisition or Corporate Inversion Transactions.  This field is currently used on Closed Tax Lot Tax Reporting at this time.  
Values:
N = No, Loss allowed
Y = Yes, No Loss allowed
</v>
      </c>
      <c r="Q35" s="29">
        <f>VLOOKUP(A35,Model!C$2:J$93,8,FALSE)</f>
        <v>33</v>
      </c>
      <c r="R35" s="2" t="b">
        <f>VLOOKUP(C35,Table!A$2:F$98,1,FALSE)=C35</f>
        <v>1</v>
      </c>
      <c r="S35" s="2" t="str">
        <f>VLOOKUP(SUBSTITUTE(A35," ","_"),View!A$2:I$106,1,FALSE)</f>
        <v>LOSS_NOT_ALLOWED_FLAG</v>
      </c>
      <c r="T35" s="3"/>
      <c r="U35" s="5"/>
      <c r="V35" s="5" t="s">
        <v>160</v>
      </c>
      <c r="W35" s="5" t="s">
        <v>71</v>
      </c>
      <c r="X35" s="5" t="s">
        <v>48</v>
      </c>
      <c r="Y35" s="19"/>
      <c r="Z35" s="5"/>
    </row>
    <row r="36" spans="1:26" ht="75" hidden="1">
      <c r="A36" s="21" t="s">
        <v>161</v>
      </c>
      <c r="B36" s="21"/>
      <c r="C36" s="5" t="s">
        <v>162</v>
      </c>
      <c r="D36" s="5" t="s">
        <v>111</v>
      </c>
      <c r="E36" s="5" t="s">
        <v>48</v>
      </c>
      <c r="F36" s="5" t="s">
        <v>112</v>
      </c>
      <c r="G36" s="5" t="s">
        <v>48</v>
      </c>
      <c r="H36" s="27" t="s">
        <v>163</v>
      </c>
      <c r="I36" s="5"/>
      <c r="J36" s="5"/>
      <c r="K36" s="5"/>
      <c r="L36" s="5"/>
      <c r="M36" s="2" t="b">
        <f>VLOOKUP(A36,Model!C$2:J$93,2,FALSE)=C36</f>
        <v>1</v>
      </c>
      <c r="N36" s="5"/>
      <c r="O36" s="2" t="b">
        <f>VLOOKUP(A36,Model!C$2:J$93,3,FALSE)=H36</f>
        <v>0</v>
      </c>
      <c r="P36" s="29" t="str">
        <f>VLOOKUP(A36,Model!C$2:J$93,3,FALSE)</f>
        <v>Life to date market discount amount_x000D_
_x000D_
Total market discount accrued since the purchase of the bond_x000D_
_x000D_
MAXIT Source: TAXLOT_DTL_OPN.LTD_MKT_DISCOUNT</v>
      </c>
      <c r="Q36" s="29">
        <f>VLOOKUP(A36,Model!C$2:J$93,8,FALSE)</f>
        <v>34</v>
      </c>
      <c r="R36" s="2" t="b">
        <f>VLOOKUP(C36,Table!A$2:F$98,1,FALSE)=C36</f>
        <v>1</v>
      </c>
      <c r="S36" s="2" t="str">
        <f>VLOOKUP(SUBSTITUTE(A36," ","_"),View!A$2:I$106,1,FALSE)</f>
        <v>LIFE_TO_DATE_MARKET_DISCOUNT</v>
      </c>
      <c r="T36" s="3"/>
      <c r="U36" s="5"/>
      <c r="V36" s="5" t="s">
        <v>160</v>
      </c>
      <c r="W36" s="5" t="s">
        <v>111</v>
      </c>
      <c r="X36" s="5" t="s">
        <v>48</v>
      </c>
      <c r="Y36" s="19"/>
      <c r="Z36" s="5"/>
    </row>
    <row r="37" spans="1:26" ht="75" hidden="1">
      <c r="A37" s="21" t="s">
        <v>164</v>
      </c>
      <c r="B37" s="21"/>
      <c r="C37" s="5" t="s">
        <v>165</v>
      </c>
      <c r="D37" s="5" t="s">
        <v>71</v>
      </c>
      <c r="E37" s="5" t="s">
        <v>48</v>
      </c>
      <c r="F37" s="5" t="s">
        <v>72</v>
      </c>
      <c r="G37" s="5" t="s">
        <v>48</v>
      </c>
      <c r="H37" s="27" t="s">
        <v>166</v>
      </c>
      <c r="I37" s="5"/>
      <c r="J37" s="5"/>
      <c r="K37" s="5"/>
      <c r="L37" s="5"/>
      <c r="M37" s="2" t="b">
        <f>VLOOKUP(A37,Model!C$2:J$93,2,FALSE)=C37</f>
        <v>1</v>
      </c>
      <c r="N37" s="5"/>
      <c r="O37" s="2" t="b">
        <f>VLOOKUP(A37,Model!C$2:J$93,3,FALSE)=H37</f>
        <v>0</v>
      </c>
      <c r="P37" s="29" t="str">
        <f>VLOOKUP(A37,Model!C$2:J$93,3,FALSE)</f>
        <v xml:space="preserve">Indicates that Cost basis is not available for this position
MAXIT Source: TAXLOT_DTL_OPN.MISS_COST_F
RJT Source: TAX_LOT_OPN_MSTR.MISS_COST_F
</v>
      </c>
      <c r="Q37" s="29">
        <f>VLOOKUP(A37,Model!C$2:J$93,8,FALSE)</f>
        <v>35</v>
      </c>
      <c r="R37" s="2" t="b">
        <f>VLOOKUP(C37,Table!A$2:F$98,1,FALSE)=C37</f>
        <v>1</v>
      </c>
      <c r="S37" s="2" t="str">
        <f>VLOOKUP(SUBSTITUTE(A37," ","_"),View!A$2:I$106,1,FALSE)</f>
        <v>MISSING_COST_BASIS_FLAG</v>
      </c>
      <c r="T37" s="3" t="s">
        <v>57</v>
      </c>
      <c r="U37" s="5" t="s">
        <v>58</v>
      </c>
      <c r="V37" t="s">
        <v>167</v>
      </c>
      <c r="W37" s="5" t="s">
        <v>71</v>
      </c>
      <c r="X37" s="5" t="s">
        <v>48</v>
      </c>
      <c r="Y37" s="46" t="s">
        <v>168</v>
      </c>
      <c r="Z37" s="47"/>
    </row>
    <row r="38" spans="1:26" ht="180" hidden="1">
      <c r="A38" s="21" t="s">
        <v>169</v>
      </c>
      <c r="B38" s="21"/>
      <c r="C38" s="5" t="s">
        <v>170</v>
      </c>
      <c r="D38" s="5" t="s">
        <v>71</v>
      </c>
      <c r="E38" s="5" t="s">
        <v>48</v>
      </c>
      <c r="F38" s="5" t="s">
        <v>72</v>
      </c>
      <c r="G38" s="5" t="s">
        <v>48</v>
      </c>
      <c r="H38" s="41" t="s">
        <v>171</v>
      </c>
      <c r="I38" s="5"/>
      <c r="J38" s="5"/>
      <c r="K38" s="5"/>
      <c r="L38" s="5"/>
      <c r="M38" s="2" t="b">
        <f>VLOOKUP(A38,Model!C$2:J$93,2,FALSE)=C38</f>
        <v>1</v>
      </c>
      <c r="N38" s="5"/>
      <c r="O38" s="2" t="b">
        <f>VLOOKUP(A38,Model!C$2:J$93,3,FALSE)=H38</f>
        <v>0</v>
      </c>
      <c r="P38" s="29" t="str">
        <f>VLOOKUP(A38,Model!C$2:J$93,3,FALSE)</f>
        <v xml:space="preserve">MAXIT Source: TAXLOT_DTL_OPN.NULL_F
RJT Source: TAX_LOT_OPN_MSTR.NULL_BSS_F
Indcates that Adjusted Cost is not accurate due to missing cost on atleast one sublot
Source:NULL_F
Y = 	YES ? At least one of the associated average cost records is missing average cost
N = 	NO ? None of the associated average cost records are missing average cost
</v>
      </c>
      <c r="Q38" s="29">
        <f>VLOOKUP(A38,Model!C$2:J$93,8,FALSE)</f>
        <v>36</v>
      </c>
      <c r="R38" s="2" t="b">
        <f>VLOOKUP(C38,Table!A$2:F$98,1,FALSE)=C38</f>
        <v>1</v>
      </c>
      <c r="S38" s="2" t="str">
        <f>VLOOKUP(SUBSTITUTE(A38," ","_"),View!A$2:I$106,1,FALSE)</f>
        <v>ADJUSTED_COST_NOT_ACCURATE_FLAG</v>
      </c>
      <c r="T38" s="3" t="s">
        <v>57</v>
      </c>
      <c r="U38" s="5" t="s">
        <v>58</v>
      </c>
      <c r="V38" s="5" t="s">
        <v>172</v>
      </c>
      <c r="W38" s="5" t="s">
        <v>71</v>
      </c>
      <c r="X38" s="5" t="s">
        <v>48</v>
      </c>
      <c r="Y38" s="19"/>
      <c r="Z38" s="5"/>
    </row>
    <row r="39" spans="1:26" ht="84" hidden="1" customHeight="1">
      <c r="A39" s="21" t="s">
        <v>173</v>
      </c>
      <c r="B39" s="21"/>
      <c r="C39" s="5" t="s">
        <v>174</v>
      </c>
      <c r="D39" s="5" t="s">
        <v>111</v>
      </c>
      <c r="E39" s="5" t="s">
        <v>48</v>
      </c>
      <c r="F39" s="5" t="s">
        <v>112</v>
      </c>
      <c r="G39" s="5" t="s">
        <v>48</v>
      </c>
      <c r="H39" s="27" t="s">
        <v>175</v>
      </c>
      <c r="I39" s="5"/>
      <c r="J39" s="5"/>
      <c r="K39" s="5"/>
      <c r="L39" s="5"/>
      <c r="M39" s="2" t="b">
        <f>VLOOKUP(A39,Model!C$2:J$93,2,FALSE)=C39</f>
        <v>1</v>
      </c>
      <c r="N39" s="5"/>
      <c r="O39" s="2" t="b">
        <f>VLOOKUP(A39,Model!C$2:J$93,3,FALSE)=H39</f>
        <v>0</v>
      </c>
      <c r="P39" s="29" t="str">
        <f>VLOOKUP(A39,Model!C$2:J$93,3,FALSE)</f>
        <v xml:space="preserve">Price_factor of opening transaction
Used for factored bonds
MAXIT Source: TAXLOT_DTL_OPN.OPN_FCTR
RJT Source: TAX_LOT_OPN_MSTR.NML_CCY_OPN_PRC_FCTR
</v>
      </c>
      <c r="Q39" s="29">
        <f>VLOOKUP(A39,Model!C$2:J$93,8,FALSE)</f>
        <v>37</v>
      </c>
      <c r="R39" s="2" t="b">
        <f>VLOOKUP(C39,Table!A$2:F$98,1,FALSE)=C39</f>
        <v>1</v>
      </c>
      <c r="S39" s="2" t="str">
        <f>VLOOKUP(SUBSTITUTE(A39," ","_"),View!A$2:I$106,1,FALSE)</f>
        <v>OPEN_PRICE_FACTOR</v>
      </c>
      <c r="T39" s="3" t="s">
        <v>57</v>
      </c>
      <c r="U39" s="5" t="s">
        <v>58</v>
      </c>
      <c r="V39" s="5" t="s">
        <v>176</v>
      </c>
      <c r="W39" s="5" t="s">
        <v>111</v>
      </c>
      <c r="X39" s="5" t="s">
        <v>48</v>
      </c>
      <c r="Y39" s="19" t="s">
        <v>177</v>
      </c>
      <c r="Z39" s="5"/>
    </row>
    <row r="40" spans="1:26" ht="126.75" customHeight="1">
      <c r="A40" s="21" t="s">
        <v>178</v>
      </c>
      <c r="B40" s="21"/>
      <c r="C40" s="5" t="s">
        <v>179</v>
      </c>
      <c r="D40" s="5" t="s">
        <v>47</v>
      </c>
      <c r="E40" s="5" t="s">
        <v>48</v>
      </c>
      <c r="F40" s="5" t="s">
        <v>49</v>
      </c>
      <c r="G40" s="5" t="s">
        <v>48</v>
      </c>
      <c r="H40" s="27" t="s">
        <v>180</v>
      </c>
      <c r="I40" s="5"/>
      <c r="J40" s="5"/>
      <c r="K40" s="5"/>
      <c r="L40" s="5"/>
      <c r="M40" s="2" t="b">
        <f>VLOOKUP(A40,Model!C$2:J$93,2,FALSE)=C40</f>
        <v>1</v>
      </c>
      <c r="N40" s="5"/>
      <c r="O40" s="2" t="b">
        <f>VLOOKUP(A40,Model!C$2:J$93,3,FALSE)=H40</f>
        <v>0</v>
      </c>
      <c r="P40" s="29" t="str">
        <f>VLOOKUP(A40,Model!C$2:J$93,3,FALSE)</f>
        <v xml:space="preserve">Source: TAXLOT_DTL_OPN.OPN_TXN_EV_ID
RJT Source: TAX_LOT_OPN_MSTR.TAX_LOT_TXN_EV_TP_ID
For open lots ? Maxit Event ID
For closed lots ? Maxit Event ID of the closing transaction
For open and closed lots, this field includes the 'event' of the opening transaction
This is a Maxit created Event Name to identify tax lots and create associations between tax lots
"
</v>
      </c>
      <c r="Q40" s="29">
        <f>VLOOKUP(A40,Model!C$2:J$93,8,FALSE)</f>
        <v>38</v>
      </c>
      <c r="R40" s="2" t="b">
        <f>VLOOKUP(C40,Table!A$2:F$98,1,FALSE)=C40</f>
        <v>1</v>
      </c>
      <c r="S40" s="2" t="str">
        <f>VLOOKUP(SUBSTITUTE(A40," ","_"),View!A$2:I$106,1,FALSE)</f>
        <v>OPEN_TRANSACTION_EVENT_TYPE</v>
      </c>
      <c r="T40" s="44" t="s">
        <v>63</v>
      </c>
      <c r="U40" s="45" t="s">
        <v>181</v>
      </c>
      <c r="V40" s="5" t="s">
        <v>182</v>
      </c>
      <c r="W40" s="5" t="s">
        <v>47</v>
      </c>
      <c r="X40" s="5" t="s">
        <v>48</v>
      </c>
      <c r="Y40" s="40" t="s">
        <v>183</v>
      </c>
      <c r="Z40" s="5"/>
    </row>
    <row r="41" spans="1:26" ht="186.75" hidden="1" customHeight="1">
      <c r="A41" s="21" t="s">
        <v>184</v>
      </c>
      <c r="B41" s="21"/>
      <c r="C41" s="5" t="s">
        <v>185</v>
      </c>
      <c r="D41" s="5" t="s">
        <v>111</v>
      </c>
      <c r="E41" s="5" t="s">
        <v>48</v>
      </c>
      <c r="F41" s="5" t="s">
        <v>112</v>
      </c>
      <c r="G41" s="5" t="s">
        <v>48</v>
      </c>
      <c r="H41" s="27" t="s">
        <v>186</v>
      </c>
      <c r="I41" s="5"/>
      <c r="J41" s="5"/>
      <c r="K41" s="5"/>
      <c r="L41" s="5"/>
      <c r="M41" s="2" t="b">
        <f>VLOOKUP(A41,Model!C$2:J$93,2,FALSE)=C41</f>
        <v>1</v>
      </c>
      <c r="N41" s="5"/>
      <c r="O41" s="2" t="b">
        <f>VLOOKUP(A41,Model!C$2:J$93,3,FALSE)=H41</f>
        <v>0</v>
      </c>
      <c r="P41" s="29" t="str">
        <f>VLOOKUP(A41,Model!C$2:J$93,3,FALSE)</f>
        <v xml:space="preserve">Original total purchase cost of the instrument
Buy, the net amount is shown. 
Sell, cost sold for a sell is displayed. 
Note: This field cannot be used currently as it is not prorated or adjusted for changes/actions/partial sells where a change in quantity is made.
MAXIT Source: TAXLOT_DTL_OPN.ORIG_COST
RJT Source:TAX_LOT_OPN_ASOF.NML_ASOF_CRN_COST_AMT
</v>
      </c>
      <c r="Q41" s="29">
        <f>VLOOKUP(A41,Model!C$2:J$93,8,FALSE)</f>
        <v>39</v>
      </c>
      <c r="R41" s="2" t="b">
        <f>VLOOKUP(C41,Table!A$2:F$98,1,FALSE)=C41</f>
        <v>1</v>
      </c>
      <c r="S41" s="2" t="str">
        <f>VLOOKUP(SUBSTITUTE(A41," ","_"),View!A$2:I$106,1,FALSE)</f>
        <v>COST_AMOUNT</v>
      </c>
      <c r="T41" s="3" t="s">
        <v>57</v>
      </c>
      <c r="U41" s="5" t="s">
        <v>58</v>
      </c>
      <c r="V41" s="5" t="s">
        <v>187</v>
      </c>
      <c r="W41" s="5" t="s">
        <v>111</v>
      </c>
      <c r="X41" s="5" t="s">
        <v>48</v>
      </c>
      <c r="Y41" s="19" t="s">
        <v>188</v>
      </c>
      <c r="Z41" s="5"/>
    </row>
    <row r="42" spans="1:26" ht="138" customHeight="1">
      <c r="A42" s="21" t="s">
        <v>189</v>
      </c>
      <c r="B42" s="21"/>
      <c r="C42" s="5" t="s">
        <v>190</v>
      </c>
      <c r="D42" s="5" t="s">
        <v>191</v>
      </c>
      <c r="E42" s="5" t="s">
        <v>48</v>
      </c>
      <c r="F42" s="5" t="s">
        <v>192</v>
      </c>
      <c r="G42" s="5" t="s">
        <v>48</v>
      </c>
      <c r="H42" s="27" t="s">
        <v>193</v>
      </c>
      <c r="I42" s="5"/>
      <c r="J42" s="5"/>
      <c r="K42" s="5"/>
      <c r="L42" s="5"/>
      <c r="M42" s="2" t="b">
        <f>VLOOKUP(A42,Model!C$2:J$93,2,FALSE)=C42</f>
        <v>1</v>
      </c>
      <c r="N42" s="5"/>
      <c r="O42" s="2" t="b">
        <f>VLOOKUP(A42,Model!C$2:J$93,3,FALSE)=H42</f>
        <v>0</v>
      </c>
      <c r="P42" s="29" t="str">
        <f>VLOOKUP(A42,Model!C$2:J$93,3,FALSE)</f>
        <v xml:space="preserve">MAAXIT Source: ORIG_EV_ID
Opening transaction original event ID.  Used when opening transaction event ID represents a corporate action, in which case the original event ID (such as DRIP BUY, gift, or inheritance, etc. is more important)
Maxit ID of the original opening transaction (i.e. would be the id associated with a buy should a reorg/corp action come along and close out that open and create new open with new opening transaction id).
Source: ORIG_EV_ID
</v>
      </c>
      <c r="Q42" s="29">
        <f>VLOOKUP(A42,Model!C$2:J$93,8,FALSE)</f>
        <v>40</v>
      </c>
      <c r="R42" s="2" t="b">
        <f>VLOOKUP(C42,Table!A$2:F$98,1,FALSE)=C42</f>
        <v>1</v>
      </c>
      <c r="S42" s="2" t="str">
        <f>VLOOKUP(SUBSTITUTE(A42," ","_"),View!A$2:I$106,1,FALSE)</f>
        <v>ORIGINAL_EVENT_TYPE</v>
      </c>
      <c r="T42" s="44" t="s">
        <v>57</v>
      </c>
      <c r="U42" s="45" t="s">
        <v>58</v>
      </c>
      <c r="V42" s="5"/>
      <c r="W42" s="5" t="s">
        <v>191</v>
      </c>
      <c r="X42" s="5" t="s">
        <v>48</v>
      </c>
      <c r="Y42" s="19" t="s">
        <v>194</v>
      </c>
      <c r="Z42" s="5"/>
    </row>
    <row r="43" spans="1:26" ht="112.5" hidden="1" customHeight="1">
      <c r="A43" s="21" t="s">
        <v>195</v>
      </c>
      <c r="B43" s="21"/>
      <c r="C43" s="5" t="s">
        <v>196</v>
      </c>
      <c r="D43" s="5" t="s">
        <v>111</v>
      </c>
      <c r="E43" s="5" t="s">
        <v>48</v>
      </c>
      <c r="F43" s="5" t="s">
        <v>112</v>
      </c>
      <c r="G43" s="5" t="s">
        <v>48</v>
      </c>
      <c r="H43" s="41" t="s">
        <v>197</v>
      </c>
      <c r="I43" s="5"/>
      <c r="J43" s="5"/>
      <c r="K43" s="5"/>
      <c r="L43" s="5"/>
      <c r="M43" s="2" t="b">
        <f>VLOOKUP(A43,Model!C$2:J$93,2,FALSE)=C43</f>
        <v>1</v>
      </c>
      <c r="N43" s="5"/>
      <c r="O43" s="2" t="b">
        <f>VLOOKUP(A43,Model!C$2:J$93,3,FALSE)=H43</f>
        <v>0</v>
      </c>
      <c r="P43" s="29" t="str">
        <f>VLOOKUP(A43,Model!C$2:J$93,3,FALSE)</f>
        <v xml:space="preserve">Per share price of the opening tax lot.
big_prc of the Buy/open short. Will be populated for a sell with opening price. 
Note: This field cannot be used currently as it is not prorated or adjusted for changes/actions/partial sells where a change in quantity is made.
MAXIT Source: TAXLOT_DTL_OPN.ORIG_PRC
RJT Source: TAX_LOT_OPN_MSTR.NML_CCY_ORIG_PRC
</v>
      </c>
      <c r="Q43" s="29">
        <f>VLOOKUP(A43,Model!C$2:J$93,8,FALSE)</f>
        <v>41</v>
      </c>
      <c r="R43" s="2" t="b">
        <f>VLOOKUP(C43,Table!A$2:F$98,1,FALSE)=C43</f>
        <v>1</v>
      </c>
      <c r="S43" s="2" t="str">
        <f>VLOOKUP(SUBSTITUTE(A43," ","_"),View!A$2:I$106,1,FALSE)</f>
        <v>ORIGINAL_PRICE</v>
      </c>
      <c r="T43" s="3" t="s">
        <v>57</v>
      </c>
      <c r="U43" s="5" t="s">
        <v>58</v>
      </c>
      <c r="V43" s="5" t="s">
        <v>198</v>
      </c>
      <c r="W43" s="5" t="s">
        <v>111</v>
      </c>
      <c r="X43" s="5" t="s">
        <v>48</v>
      </c>
      <c r="Y43" s="19" t="s">
        <v>199</v>
      </c>
      <c r="Z43" s="5"/>
    </row>
    <row r="44" spans="1:26" ht="84.75" hidden="1" customHeight="1">
      <c r="A44" s="21" t="s">
        <v>200</v>
      </c>
      <c r="B44" s="21"/>
      <c r="C44" s="5" t="s">
        <v>201</v>
      </c>
      <c r="D44" s="5" t="s">
        <v>111</v>
      </c>
      <c r="E44" s="5" t="s">
        <v>48</v>
      </c>
      <c r="F44" s="5" t="s">
        <v>112</v>
      </c>
      <c r="G44" s="5" t="s">
        <v>48</v>
      </c>
      <c r="H44" s="27" t="s">
        <v>202</v>
      </c>
      <c r="I44" s="5"/>
      <c r="J44" s="5"/>
      <c r="K44" s="5"/>
      <c r="L44" s="5"/>
      <c r="M44" s="2" t="b">
        <f>VLOOKUP(A44,Model!C$2:J$93,2,FALSE)=C44</f>
        <v>1</v>
      </c>
      <c r="N44" s="5"/>
      <c r="O44" s="2" t="b">
        <f>VLOOKUP(A44,Model!C$2:J$93,3,FALSE)=H44</f>
        <v>0</v>
      </c>
      <c r="P44" s="29" t="str">
        <f>VLOOKUP(A44,Model!C$2:J$93,3,FALSE)</f>
        <v xml:space="preserve">Net_amount of asgn sell before adding premium.
Note: This field cannot be used currently as it is not prorated or adjusted for changes/actions/partial sells where a change in quantity is made.
MAXIT Source: TAXLOT_DTL_OPN.ORIG_PROCD
RJT Source: TAX_LOT_OPN_MSTR.NML_CCY_ORIG_PROCD_AMT
</v>
      </c>
      <c r="Q44" s="29">
        <f>VLOOKUP(A44,Model!C$2:J$93,8,FALSE)</f>
        <v>42</v>
      </c>
      <c r="R44" s="2" t="b">
        <f>VLOOKUP(C44,Table!A$2:F$98,1,FALSE)=C44</f>
        <v>1</v>
      </c>
      <c r="S44" s="2" t="str">
        <f>VLOOKUP(SUBSTITUTE(A44," ","_"),View!A$2:I$106,1,FALSE)</f>
        <v>ORIGINAL_PROCEED</v>
      </c>
      <c r="T44" s="3" t="s">
        <v>57</v>
      </c>
      <c r="U44" s="5" t="s">
        <v>58</v>
      </c>
      <c r="V44" s="5" t="s">
        <v>203</v>
      </c>
      <c r="W44" s="5" t="s">
        <v>111</v>
      </c>
      <c r="X44" s="5" t="s">
        <v>48</v>
      </c>
      <c r="Y44" s="19" t="s">
        <v>204</v>
      </c>
      <c r="Z44" s="5"/>
    </row>
    <row r="45" spans="1:26" ht="409.5">
      <c r="A45" s="21" t="s">
        <v>205</v>
      </c>
      <c r="B45" s="21"/>
      <c r="C45" s="5" t="s">
        <v>206</v>
      </c>
      <c r="D45" s="5" t="s">
        <v>191</v>
      </c>
      <c r="E45" s="5" t="s">
        <v>48</v>
      </c>
      <c r="F45" s="5" t="s">
        <v>192</v>
      </c>
      <c r="G45" s="5" t="s">
        <v>48</v>
      </c>
      <c r="H45" s="27" t="s">
        <v>207</v>
      </c>
      <c r="I45" s="5"/>
      <c r="J45" s="5"/>
      <c r="K45" s="5"/>
      <c r="L45" s="5"/>
      <c r="M45" s="2" t="b">
        <f>VLOOKUP(A45,Model!C$2:J$93,2,FALSE)=C45</f>
        <v>1</v>
      </c>
      <c r="N45" s="5"/>
      <c r="O45" s="2" t="b">
        <f>VLOOKUP(A45,Model!C$2:J$93,3,FALSE)=H45</f>
        <v>0</v>
      </c>
      <c r="P45" s="29" t="str">
        <f>VLOOKUP(A45,Model!C$2:J$93,3,FALSE)</f>
        <v>MAXIT Source: TAXLOT_DTL_OPN.ORIG_TXN_TP
RJT Source:TAX_LOT_OPN_MSTR.ORIG_TAX_LOT_TXN_TP_ID
Opening transaction original TRAN TYPE ID.  Used when opening transaction tran type represents a corporate action, in which case the original tran type (such as DRP, GFT, or INH, etc. is more important)
Additional Notes:  The purpose of this field is to preserve the TRAN_TYPE with which the position was opened.  As opposed to TRAN_TYPE, this field survives corporate actions and wash sale sub-lot allocation.  One of the important use cases of ORIGINAL_TRAN_TYPE is alongside of transfers such as ACATs, where the values of INH and GFT indicate gift or inheritance.  It should be noted that lots created due to corporate actions on inherited or gifted positions will have ORIGINAL_TRAN_TYPE of INH and GFT, and the TRAN_TYPE set to that of the corporate action.
This is a Maxit specific code that describes the category of transaction/action that created the open tax lot.
Note:
Inherited = INH
Inherited than Gifted = ITG - NEW TFS Requirement 195137
Gifted = GFT
source: ORIG_TXN_TP
existing values: 
BUY, INH, DRP, ACT, XCH, SED, ATF, RCV, BTO, SHS, EXC, GFT, SCC, STO, CCG, ASN, SPN, RSP, MRG, SDV, RTS, DVR, BPR, WSH, ACQ, OID, MDI, NQSI, LIQ</v>
      </c>
      <c r="Q45" s="29">
        <f>VLOOKUP(A45,Model!C$2:J$93,8,FALSE)</f>
        <v>43</v>
      </c>
      <c r="R45" s="2" t="b">
        <f>VLOOKUP(C45,Table!A$2:F$98,1,FALSE)=C45</f>
        <v>1</v>
      </c>
      <c r="S45" s="2" t="str">
        <f>VLOOKUP(SUBSTITUTE(A45," ","_"),View!A$2:I$106,1,FALSE)</f>
        <v>ORIGINAL_TRANSACTION_TYPE_CODE</v>
      </c>
      <c r="T45" s="44" t="s">
        <v>57</v>
      </c>
      <c r="U45" s="45" t="s">
        <v>58</v>
      </c>
      <c r="V45" s="5"/>
      <c r="W45" s="5" t="s">
        <v>191</v>
      </c>
      <c r="X45" s="5" t="s">
        <v>48</v>
      </c>
      <c r="Y45" s="19" t="s">
        <v>194</v>
      </c>
      <c r="Z45" s="5"/>
    </row>
    <row r="46" spans="1:26" ht="90" hidden="1">
      <c r="A46" s="21" t="s">
        <v>208</v>
      </c>
      <c r="B46" s="21"/>
      <c r="C46" s="5" t="s">
        <v>209</v>
      </c>
      <c r="D46" s="5" t="s">
        <v>111</v>
      </c>
      <c r="E46" s="5" t="s">
        <v>48</v>
      </c>
      <c r="F46" s="5" t="s">
        <v>112</v>
      </c>
      <c r="G46" s="5" t="s">
        <v>48</v>
      </c>
      <c r="H46" s="42" t="s">
        <v>210</v>
      </c>
      <c r="I46" s="5"/>
      <c r="J46" s="5"/>
      <c r="K46" s="5"/>
      <c r="L46" s="5"/>
      <c r="M46" s="2" t="b">
        <f>VLOOKUP(A46,Model!C$2:J$93,2,FALSE)=C46</f>
        <v>1</v>
      </c>
      <c r="N46" s="5"/>
      <c r="O46" s="2" t="b">
        <f>VLOOKUP(A46,Model!C$2:J$93,3,FALSE)=H46</f>
        <v>0</v>
      </c>
      <c r="P46" s="29" t="str">
        <f>VLOOKUP(A46,Model!C$2:J$93,3,FALSE)</f>
        <v xml:space="preserve">MAXIT Source:TAXLOT_DTL_OPN. PREMIUM
RJT Source: None
option premium amount added to the underlying stock when an option is assigned to the holder.
</v>
      </c>
      <c r="Q46" s="29">
        <f>VLOOKUP(A46,Model!C$2:J$93,8,FALSE)</f>
        <v>44</v>
      </c>
      <c r="R46" s="2" t="b">
        <f>VLOOKUP(C46,Table!A$2:F$98,1,FALSE)=C46</f>
        <v>1</v>
      </c>
      <c r="S46" s="2" t="str">
        <f>VLOOKUP(SUBSTITUTE(A46," ","_"),View!A$2:I$106,1,FALSE)</f>
        <v>PREMIUM_AMOUNT</v>
      </c>
      <c r="T46" s="3"/>
      <c r="U46" s="5"/>
      <c r="V46" s="5" t="s">
        <v>160</v>
      </c>
      <c r="W46" s="5" t="s">
        <v>111</v>
      </c>
      <c r="X46" s="5" t="s">
        <v>48</v>
      </c>
      <c r="Y46" s="19"/>
      <c r="Z46" s="5"/>
    </row>
    <row r="47" spans="1:26" ht="136.5" hidden="1" customHeight="1">
      <c r="A47" s="21" t="s">
        <v>211</v>
      </c>
      <c r="B47" s="21"/>
      <c r="C47" s="5" t="s">
        <v>212</v>
      </c>
      <c r="D47" s="5" t="s">
        <v>111</v>
      </c>
      <c r="E47" s="5" t="s">
        <v>48</v>
      </c>
      <c r="F47" s="5" t="s">
        <v>112</v>
      </c>
      <c r="G47" s="5" t="s">
        <v>48</v>
      </c>
      <c r="H47" s="27" t="s">
        <v>213</v>
      </c>
      <c r="I47" s="5"/>
      <c r="J47" s="5"/>
      <c r="K47" s="5"/>
      <c r="L47" s="5"/>
      <c r="M47" s="2" t="b">
        <f>VLOOKUP(A47,Model!C$2:J$93,2,FALSE)=C47</f>
        <v>1</v>
      </c>
      <c r="N47" s="5"/>
      <c r="O47" s="2" t="b">
        <f>VLOOKUP(A47,Model!C$2:J$93,3,FALSE)=H47</f>
        <v>0</v>
      </c>
      <c r="P47" s="29" t="str">
        <f>VLOOKUP(A47,Model!C$2:J$93,3,FALSE)</f>
        <v xml:space="preserve">Contains the total shares / PAR value for the open or closed tax lot position.   
Lot quantity per Maxit
When long_short_position = S, always set to (absolute value * -1)
When long_short_position = L, always set to absolute value 
MAXIT Source: TAXLOT_DTL_OPN.QTY
RJT Source: TAX_LOT_OPN_ASOF.TAX_LOT_ASOF_QTY
</v>
      </c>
      <c r="Q47" s="29">
        <f>VLOOKUP(A47,Model!C$2:J$93,8,FALSE)</f>
        <v>45</v>
      </c>
      <c r="R47" s="2" t="b">
        <f>VLOOKUP(C47,Table!A$2:F$98,1,FALSE)=C47</f>
        <v>1</v>
      </c>
      <c r="S47" s="2" t="str">
        <f>VLOOKUP(SUBSTITUTE(A47," ","_"),View!A$2:I$106,1,FALSE)</f>
        <v>QUANTITY</v>
      </c>
      <c r="T47" s="3" t="s">
        <v>57</v>
      </c>
      <c r="U47" s="5" t="s">
        <v>58</v>
      </c>
      <c r="V47" s="5" t="s">
        <v>214</v>
      </c>
      <c r="W47" s="5" t="s">
        <v>111</v>
      </c>
      <c r="X47" s="5" t="s">
        <v>48</v>
      </c>
      <c r="Y47" s="19"/>
      <c r="Z47" s="5"/>
    </row>
    <row r="48" spans="1:26" ht="271.5" customHeight="1">
      <c r="A48" s="21" t="s">
        <v>215</v>
      </c>
      <c r="B48" s="21"/>
      <c r="C48" s="5" t="s">
        <v>216</v>
      </c>
      <c r="D48" s="5" t="s">
        <v>47</v>
      </c>
      <c r="E48" s="5" t="s">
        <v>48</v>
      </c>
      <c r="F48" s="5" t="s">
        <v>49</v>
      </c>
      <c r="G48" s="5" t="s">
        <v>48</v>
      </c>
      <c r="H48" s="27" t="s">
        <v>217</v>
      </c>
      <c r="I48" s="5"/>
      <c r="J48" s="5"/>
      <c r="K48" s="5"/>
      <c r="L48" s="5"/>
      <c r="M48" s="2" t="b">
        <f>VLOOKUP(A48,Model!C$2:J$93,2,FALSE)=C48</f>
        <v>1</v>
      </c>
      <c r="N48" s="5"/>
      <c r="O48" s="2" t="b">
        <f>VLOOKUP(A48,Model!C$2:J$93,3,FALSE)=H48</f>
        <v>0</v>
      </c>
      <c r="P48" s="29" t="str">
        <f>VLOOKUP(A48,Model!C$2:J$93,3,FALSE)</f>
        <v xml:space="preserve">MAXIT Source: CCAL_TAXLOT_OWNER.TAXLOT_DTL_OPN/CLS.RCRD_TP
RJT Source: TAX_LOT_OPN_MSTR	SRC_RCRD_TP_ID (CCAL_OWNER.RCRD_TP)
values
A = 	Assigned ? Associated with the Closed Tax Lot ONLY
B = 	Buy ? Associated with the Open Tax Lot ONLY
C = 	Cover Short ? Associated with Closed Tax Lot ONLY
D = 	Deliver ? Associated with Closed Tax Lot ONLY
E = 	Expired ? Associated with Closed Tax Lot ONLY
H = 	Transfer of a Short Deliver ? Associated with the Open Tax Lot ONLY
L =  	Short Sell ? Associated with the Open Tax Lot ONLY
M = 	Redemption ? Associated with Closed Tax Lot ONLY
R = 	Receive Record ? Associated with either Open or Closed Tax Lot
S = 	Sell ? Associated with Closed Tax Lot ONLY
V = 	Dividend Reinvestment ? Associated with the Open Tax Lot ONLY
Z = 	record type is not applicable to that type of record
</v>
      </c>
      <c r="Q48" s="29">
        <f>VLOOKUP(A48,Model!C$2:J$93,8,FALSE)</f>
        <v>46</v>
      </c>
      <c r="R48" s="2" t="b">
        <f>VLOOKUP(C48,Table!A$2:F$98,1,FALSE)=C48</f>
        <v>1</v>
      </c>
      <c r="S48" s="2" t="str">
        <f>VLOOKUP(SUBSTITUTE(A48," ","_"),View!A$2:I$106,1,FALSE)</f>
        <v>SOURCE_RECORD_TYPE_CODE</v>
      </c>
      <c r="T48" s="3"/>
      <c r="U48" s="5" t="s">
        <v>181</v>
      </c>
      <c r="V48" s="5" t="s">
        <v>218</v>
      </c>
      <c r="W48" s="5" t="s">
        <v>47</v>
      </c>
      <c r="X48" s="5" t="s">
        <v>48</v>
      </c>
      <c r="Y48" s="19" t="s">
        <v>219</v>
      </c>
      <c r="Z48" s="5"/>
    </row>
    <row r="49" spans="1:26" ht="112.5" hidden="1" customHeight="1">
      <c r="A49" s="21" t="s">
        <v>220</v>
      </c>
      <c r="B49" s="21"/>
      <c r="C49" s="5" t="s">
        <v>221</v>
      </c>
      <c r="D49" s="5" t="s">
        <v>71</v>
      </c>
      <c r="E49" s="5" t="s">
        <v>48</v>
      </c>
      <c r="F49" s="5" t="s">
        <v>72</v>
      </c>
      <c r="G49" s="5" t="s">
        <v>48</v>
      </c>
      <c r="H49" s="27" t="s">
        <v>222</v>
      </c>
      <c r="I49" s="5"/>
      <c r="J49" s="5"/>
      <c r="K49" s="5"/>
      <c r="L49" s="5"/>
      <c r="M49" s="2" t="b">
        <f>VLOOKUP(A49,Model!C$2:J$93,2,FALSE)=C49</f>
        <v>1</v>
      </c>
      <c r="N49" s="5"/>
      <c r="O49" s="2" t="b">
        <f>VLOOKUP(A49,Model!C$2:J$93,3,FALSE)=H49</f>
        <v>0</v>
      </c>
      <c r="P49" s="29" t="str">
        <f>VLOOKUP(A49,Model!C$2:J$93,3,FALSE)</f>
        <v xml:space="preserve">MAXIT Source: TAXLOT_DTL_OPN.RVST_F
RJT Source: TAX_LOT_OPN_MSTR.RVST_F
For MAXIT it is RJ Derived
When original_tran_type = DRP, set to Y
ELSE set to N 
"	
</v>
      </c>
      <c r="Q49" s="29">
        <f>VLOOKUP(A49,Model!C$2:J$93,8,FALSE)</f>
        <v>47</v>
      </c>
      <c r="R49" s="2" t="b">
        <f>VLOOKUP(C49,Table!A$2:F$98,1,FALSE)=C49</f>
        <v>1</v>
      </c>
      <c r="S49" s="2" t="str">
        <f>VLOOKUP(SUBSTITUTE(A49," ","_"),View!A$2:I$106,1,FALSE)</f>
        <v>REINVESTMENT_LOT_FLAG</v>
      </c>
      <c r="T49" s="3" t="s">
        <v>57</v>
      </c>
      <c r="U49" s="5" t="s">
        <v>58</v>
      </c>
      <c r="V49" s="5" t="s">
        <v>223</v>
      </c>
      <c r="W49" s="5" t="s">
        <v>71</v>
      </c>
      <c r="X49" s="5" t="s">
        <v>48</v>
      </c>
      <c r="Y49" s="19"/>
      <c r="Z49" s="5"/>
    </row>
    <row r="50" spans="1:26" ht="90" hidden="1">
      <c r="A50" s="21" t="s">
        <v>224</v>
      </c>
      <c r="B50" s="21"/>
      <c r="C50" s="5" t="s">
        <v>225</v>
      </c>
      <c r="D50" s="5" t="s">
        <v>91</v>
      </c>
      <c r="E50" s="5" t="s">
        <v>48</v>
      </c>
      <c r="F50" s="5" t="s">
        <v>92</v>
      </c>
      <c r="G50" s="5" t="s">
        <v>48</v>
      </c>
      <c r="H50" s="27" t="s">
        <v>226</v>
      </c>
      <c r="I50" s="5"/>
      <c r="J50" s="5"/>
      <c r="K50" s="5"/>
      <c r="L50" s="5"/>
      <c r="M50" s="2" t="b">
        <f>VLOOKUP(A50,Model!C$2:J$93,2,FALSE)=C50</f>
        <v>1</v>
      </c>
      <c r="N50" s="5"/>
      <c r="O50" s="2" t="b">
        <f>VLOOKUP(A50,Model!C$2:J$93,3,FALSE)=H50</f>
        <v>0</v>
      </c>
      <c r="P50" s="29" t="str">
        <f>VLOOKUP(A50,Model!C$2:J$93,3,FALSE)</f>
        <v xml:space="preserve">Settlement date of Open/close transaction supplied by RJ or created by Maxit for corporate actions.
MAXIT Source: TAXLOT_DTL_OPN.SD
RJT Source: TAX_LOT_OPN_MSTR.SD
 </v>
      </c>
      <c r="Q50" s="29">
        <f>VLOOKUP(A50,Model!C$2:J$93,8,FALSE)</f>
        <v>48</v>
      </c>
      <c r="R50" s="2" t="b">
        <f>VLOOKUP(C50,Table!A$2:F$98,1,FALSE)=C50</f>
        <v>1</v>
      </c>
      <c r="S50" s="2" t="str">
        <f>VLOOKUP(SUBSTITUTE(A50," ","_"),View!A$2:I$106,1,FALSE)</f>
        <v>SETTLEMENT_DATE</v>
      </c>
      <c r="T50" s="3" t="s">
        <v>57</v>
      </c>
      <c r="U50" s="5" t="s">
        <v>58</v>
      </c>
      <c r="V50" s="5" t="s">
        <v>225</v>
      </c>
      <c r="W50" s="5" t="s">
        <v>91</v>
      </c>
      <c r="X50" s="5" t="s">
        <v>48</v>
      </c>
      <c r="Y50" s="19"/>
      <c r="Z50" s="5"/>
    </row>
    <row r="51" spans="1:26" ht="30" hidden="1">
      <c r="A51" s="21" t="s">
        <v>227</v>
      </c>
      <c r="B51" s="21"/>
      <c r="C51" s="5" t="s">
        <v>228</v>
      </c>
      <c r="D51" s="5" t="s">
        <v>229</v>
      </c>
      <c r="E51" s="5" t="s">
        <v>48</v>
      </c>
      <c r="F51" s="5" t="s">
        <v>230</v>
      </c>
      <c r="G51" s="5" t="s">
        <v>48</v>
      </c>
      <c r="H51" s="41" t="s">
        <v>231</v>
      </c>
      <c r="I51" s="5"/>
      <c r="J51" s="5"/>
      <c r="K51" s="5"/>
      <c r="L51" s="5"/>
      <c r="M51" s="2" t="b">
        <f>VLOOKUP(A51,Model!C$2:J$93,2,FALSE)=C51</f>
        <v>1</v>
      </c>
      <c r="N51" s="5"/>
      <c r="O51" s="2" t="b">
        <f>VLOOKUP(A51,Model!C$2:J$93,3,FALSE)=H51</f>
        <v>0</v>
      </c>
      <c r="P51" s="29" t="str">
        <f>VLOOKUP(A51,Model!C$2:J$93,3,FALSE)</f>
        <v xml:space="preserve">MAXIT Source: TAXLOT_DTL_OPN.TRD_NUM
</v>
      </c>
      <c r="Q51" s="29">
        <f>VLOOKUP(A51,Model!C$2:J$93,8,FALSE)</f>
        <v>50</v>
      </c>
      <c r="R51" s="2" t="b">
        <f>VLOOKUP(C51,Table!A$2:F$98,1,FALSE)=C51</f>
        <v>1</v>
      </c>
      <c r="S51" s="2" t="str">
        <f>VLOOKUP(SUBSTITUTE(A51," ","_"),View!A$2:I$106,1,FALSE)</f>
        <v>TRADE_NUMBER</v>
      </c>
      <c r="T51" s="3" t="s">
        <v>57</v>
      </c>
      <c r="U51" s="5" t="s">
        <v>58</v>
      </c>
      <c r="V51" s="5" t="s">
        <v>228</v>
      </c>
      <c r="W51" s="5" t="s">
        <v>229</v>
      </c>
      <c r="X51" s="5" t="s">
        <v>48</v>
      </c>
      <c r="Y51" s="19"/>
      <c r="Z51" s="5"/>
    </row>
    <row r="52" spans="1:26" ht="60" hidden="1">
      <c r="A52" s="21" t="s">
        <v>232</v>
      </c>
      <c r="B52" s="21"/>
      <c r="C52" s="5" t="s">
        <v>233</v>
      </c>
      <c r="D52" s="5" t="s">
        <v>91</v>
      </c>
      <c r="E52" s="5" t="s">
        <v>48</v>
      </c>
      <c r="F52" s="5" t="s">
        <v>92</v>
      </c>
      <c r="G52" s="5" t="s">
        <v>48</v>
      </c>
      <c r="H52" s="41" t="s">
        <v>234</v>
      </c>
      <c r="I52" s="5"/>
      <c r="J52" s="5"/>
      <c r="K52" s="5"/>
      <c r="L52" s="5"/>
      <c r="M52" s="2" t="b">
        <f>VLOOKUP(A52,Model!C$2:J$93,2,FALSE)=C52</f>
        <v>1</v>
      </c>
      <c r="N52" s="5"/>
      <c r="O52" s="2" t="b">
        <f>VLOOKUP(A52,Model!C$2:J$93,3,FALSE)=H52</f>
        <v>0</v>
      </c>
      <c r="P52" s="29" t="str">
        <f>VLOOKUP(A52,Model!C$2:J$93,3,FALSE)</f>
        <v xml:space="preserve">MAXIT Source:TAXLOT_DTL_OPN.TXN_INIT_DT_x000D_
RJT Source: TAX_LOT_OPN_MSTR.TXN_INTT_DT_x000D_
_x000D_
</v>
      </c>
      <c r="Q52" s="29">
        <f>VLOOKUP(A52,Model!C$2:J$93,8,FALSE)</f>
        <v>51</v>
      </c>
      <c r="R52" s="2" t="b">
        <f>VLOOKUP(C52,Table!A$2:F$98,1,FALSE)=C52</f>
        <v>1</v>
      </c>
      <c r="S52" s="2" t="str">
        <f>VLOOKUP(SUBSTITUTE(A52," ","_"),View!A$2:I$106,1,FALSE)</f>
        <v>TRANSACTION_INITIATE_DATE</v>
      </c>
      <c r="T52" s="3" t="s">
        <v>57</v>
      </c>
      <c r="U52" s="5" t="s">
        <v>58</v>
      </c>
      <c r="V52" s="5" t="s">
        <v>235</v>
      </c>
      <c r="W52" s="5" t="s">
        <v>91</v>
      </c>
      <c r="X52" s="5" t="s">
        <v>48</v>
      </c>
      <c r="Y52" s="19"/>
      <c r="Z52" s="5"/>
    </row>
    <row r="53" spans="1:26" ht="60">
      <c r="A53" s="21" t="s">
        <v>236</v>
      </c>
      <c r="B53" s="21"/>
      <c r="C53" s="5" t="s">
        <v>237</v>
      </c>
      <c r="D53" s="5" t="s">
        <v>47</v>
      </c>
      <c r="E53" s="5" t="s">
        <v>48</v>
      </c>
      <c r="F53" s="5" t="s">
        <v>49</v>
      </c>
      <c r="G53" s="5" t="s">
        <v>48</v>
      </c>
      <c r="H53" s="42" t="s">
        <v>238</v>
      </c>
      <c r="I53" s="5"/>
      <c r="J53" s="5"/>
      <c r="K53" s="5"/>
      <c r="L53" s="5"/>
      <c r="M53" s="2" t="b">
        <f>VLOOKUP(A53,Model!C$2:J$93,2,FALSE)=C53</f>
        <v>1</v>
      </c>
      <c r="N53" s="5"/>
      <c r="O53" s="2" t="b">
        <f>VLOOKUP(A53,Model!C$2:J$93,3,FALSE)=H53</f>
        <v>0</v>
      </c>
      <c r="P53" s="29" t="str">
        <f>VLOOKUP(A53,Model!C$2:J$93,3,FALSE)</f>
        <v xml:space="preserve">MAXIT Source: TAXLOT_DTL_OPN.TXN_TP
RJT Source: TAX_LOT_OPN_MSTR.ORIG_TAX_LOT_TXN_TP_ID
</v>
      </c>
      <c r="Q53" s="29">
        <f>VLOOKUP(A53,Model!C$2:J$93,8,FALSE)</f>
        <v>52</v>
      </c>
      <c r="R53" s="2" t="b">
        <f>VLOOKUP(C53,Table!A$2:F$98,1,FALSE)=C53</f>
        <v>1</v>
      </c>
      <c r="S53" s="2" t="str">
        <f>VLOOKUP(SUBSTITUTE(A53," ","_"),View!A$2:I$106,1,FALSE)</f>
        <v>TRANSACTION_TYPE_CODE</v>
      </c>
      <c r="T53" s="44" t="s">
        <v>57</v>
      </c>
      <c r="U53" s="45" t="s">
        <v>58</v>
      </c>
      <c r="V53" s="5"/>
      <c r="W53" s="5" t="s">
        <v>47</v>
      </c>
      <c r="X53" s="5" t="s">
        <v>48</v>
      </c>
      <c r="Y53" s="19" t="s">
        <v>194</v>
      </c>
      <c r="Z53" s="5"/>
    </row>
    <row r="54" spans="1:26" ht="45" hidden="1">
      <c r="A54" s="21" t="s">
        <v>239</v>
      </c>
      <c r="B54" s="21"/>
      <c r="C54" s="5" t="s">
        <v>240</v>
      </c>
      <c r="D54" s="5" t="s">
        <v>111</v>
      </c>
      <c r="E54" s="5" t="s">
        <v>48</v>
      </c>
      <c r="F54" s="5" t="s">
        <v>112</v>
      </c>
      <c r="G54" s="5" t="s">
        <v>48</v>
      </c>
      <c r="H54" s="41" t="s">
        <v>241</v>
      </c>
      <c r="I54" s="5"/>
      <c r="J54" s="5"/>
      <c r="K54" s="5"/>
      <c r="L54" s="5"/>
      <c r="M54" s="2" t="b">
        <f>VLOOKUP(A54,Model!C$2:J$93,2,FALSE)=C54</f>
        <v>1</v>
      </c>
      <c r="N54" s="5"/>
      <c r="O54" s="2" t="b">
        <f>VLOOKUP(A54,Model!C$2:J$93,3,FALSE)=H54</f>
        <v>0</v>
      </c>
      <c r="P54" s="29" t="str">
        <f>VLOOKUP(A54,Model!C$2:J$93,3,FALSE)</f>
        <v xml:space="preserve">MAXIT Source: TAXLOT_DTL_OPN.UC
RJT Source: TAX_LOT_OPN_ASOF.NML_CCY_ASOF_PER_UC_AMT
</v>
      </c>
      <c r="Q54" s="29">
        <f>VLOOKUP(A54,Model!C$2:J$93,8,FALSE)</f>
        <v>53</v>
      </c>
      <c r="R54" s="2" t="b">
        <f>VLOOKUP(C54,Table!A$2:F$98,1,FALSE)=C54</f>
        <v>1</v>
      </c>
      <c r="S54" s="2" t="str">
        <f>VLOOKUP(SUBSTITUTE(A54," ","_"),View!A$2:I$106,1,FALSE)</f>
        <v>UNIT_COST</v>
      </c>
      <c r="T54" s="3" t="s">
        <v>57</v>
      </c>
      <c r="U54" s="5" t="s">
        <v>58</v>
      </c>
      <c r="V54" s="5" t="s">
        <v>242</v>
      </c>
      <c r="W54" s="5" t="s">
        <v>111</v>
      </c>
      <c r="X54" s="5" t="s">
        <v>48</v>
      </c>
      <c r="Y54" s="19" t="s">
        <v>243</v>
      </c>
      <c r="Z54" s="5"/>
    </row>
    <row r="55" spans="1:26" ht="45" hidden="1">
      <c r="A55" s="21" t="s">
        <v>244</v>
      </c>
      <c r="B55" s="21"/>
      <c r="C55" s="5" t="s">
        <v>245</v>
      </c>
      <c r="D55" s="5" t="s">
        <v>111</v>
      </c>
      <c r="E55" s="5" t="s">
        <v>48</v>
      </c>
      <c r="F55" s="5" t="s">
        <v>112</v>
      </c>
      <c r="G55" s="5" t="s">
        <v>48</v>
      </c>
      <c r="H55" s="27" t="s">
        <v>246</v>
      </c>
      <c r="I55" s="5"/>
      <c r="J55" s="5"/>
      <c r="K55" s="5"/>
      <c r="L55" s="5"/>
      <c r="M55" s="2" t="b">
        <f>VLOOKUP(A55,Model!C$2:J$93,2,FALSE)=C55</f>
        <v>1</v>
      </c>
      <c r="N55" s="5"/>
      <c r="O55" s="2" t="b">
        <f>VLOOKUP(A55,Model!C$2:J$93,3,FALSE)=H55</f>
        <v>0</v>
      </c>
      <c r="P55" s="29" t="str">
        <f>VLOOKUP(A55,Model!C$2:J$93,3,FALSE)</f>
        <v xml:space="preserve">MAXIT Source: TAXLOT_DTL_OPN.UC
RJT Source: TAX_LOT_OPN_ASOF.NML_CCY_ASOF_PER_UC_AMT
</v>
      </c>
      <c r="Q55" s="29">
        <f>VLOOKUP(A55,Model!C$2:J$93,8,FALSE)</f>
        <v>54</v>
      </c>
      <c r="R55" s="2" t="b">
        <f>VLOOKUP(C55,Table!A$2:F$98,1,FALSE)=C55</f>
        <v>1</v>
      </c>
      <c r="S55" s="2" t="str">
        <f>VLOOKUP(SUBSTITUTE(A55," ","_"),View!A$2:I$106,1,FALSE)</f>
        <v>SYSTEM_BASE_CURRENCY_UNIT_COST</v>
      </c>
      <c r="T55" s="3" t="s">
        <v>57</v>
      </c>
      <c r="U55" s="5" t="s">
        <v>58</v>
      </c>
      <c r="V55" s="5" t="s">
        <v>242</v>
      </c>
      <c r="W55" s="5" t="s">
        <v>111</v>
      </c>
      <c r="X55" s="5" t="s">
        <v>48</v>
      </c>
      <c r="Y55" s="19" t="s">
        <v>243</v>
      </c>
      <c r="Z55" s="5"/>
    </row>
    <row r="56" spans="1:26" ht="60" hidden="1">
      <c r="A56" s="21" t="s">
        <v>247</v>
      </c>
      <c r="B56" s="21"/>
      <c r="C56" s="5" t="s">
        <v>248</v>
      </c>
      <c r="D56" s="5" t="s">
        <v>71</v>
      </c>
      <c r="E56" s="5" t="s">
        <v>48</v>
      </c>
      <c r="F56" s="5" t="s">
        <v>72</v>
      </c>
      <c r="G56" s="5" t="s">
        <v>48</v>
      </c>
      <c r="H56" s="42" t="s">
        <v>249</v>
      </c>
      <c r="I56" s="5"/>
      <c r="J56" s="5"/>
      <c r="K56" s="5"/>
      <c r="L56" s="5"/>
      <c r="M56" s="2" t="b">
        <f>VLOOKUP(A56,Model!C$2:J$93,2,FALSE)=C56</f>
        <v>1</v>
      </c>
      <c r="N56" s="5"/>
      <c r="O56" s="2" t="b">
        <f>VLOOKUP(A56,Model!C$2:J$93,3,FALSE)=H56</f>
        <v>0</v>
      </c>
      <c r="P56" s="29" t="str">
        <f>VLOOKUP(A56,Model!C$2:J$93,3,FALSE)</f>
        <v>MAXIT Source: TAXLOT_DTL_OPN.WASH_SALE_IND
RJT Source: TAX_LOT_OPN_MSTR.WASH_SALE_F
WASH_SALE_IND on Source. Y= Wash Sale Sublot</v>
      </c>
      <c r="Q56" s="29">
        <f>VLOOKUP(A56,Model!C$2:J$93,8,FALSE)</f>
        <v>55</v>
      </c>
      <c r="R56" s="2" t="b">
        <f>VLOOKUP(C56,Table!A$2:F$98,1,FALSE)=C56</f>
        <v>1</v>
      </c>
      <c r="S56" s="2" t="str">
        <f>VLOOKUP(SUBSTITUTE(A56," ","_"),View!A$2:I$106,1,FALSE)</f>
        <v>WASH_SALE_FLAG</v>
      </c>
      <c r="T56" s="3" t="s">
        <v>57</v>
      </c>
      <c r="U56" s="5" t="s">
        <v>58</v>
      </c>
      <c r="V56" s="5" t="s">
        <v>248</v>
      </c>
      <c r="W56" s="5" t="s">
        <v>71</v>
      </c>
      <c r="X56" s="5" t="s">
        <v>48</v>
      </c>
      <c r="Y56" s="19"/>
      <c r="Z56" s="5"/>
    </row>
    <row r="57" spans="1:26" ht="60" hidden="1">
      <c r="A57" s="21" t="s">
        <v>250</v>
      </c>
      <c r="B57" s="21"/>
      <c r="C57" s="5" t="s">
        <v>251</v>
      </c>
      <c r="D57" s="5" t="s">
        <v>252</v>
      </c>
      <c r="E57" s="5" t="s">
        <v>48</v>
      </c>
      <c r="F57" s="5" t="s">
        <v>253</v>
      </c>
      <c r="G57" s="5" t="s">
        <v>48</v>
      </c>
      <c r="H57" s="41" t="s">
        <v>254</v>
      </c>
      <c r="I57" s="5"/>
      <c r="J57" s="5"/>
      <c r="K57" s="5"/>
      <c r="L57" s="5"/>
      <c r="M57" s="2" t="b">
        <f>VLOOKUP(A57,Model!C$2:J$93,2,FALSE)=C57</f>
        <v>1</v>
      </c>
      <c r="N57" s="5"/>
      <c r="O57" s="2" t="b">
        <f>VLOOKUP(A57,Model!C$2:J$93,3,FALSE)=H57</f>
        <v>0</v>
      </c>
      <c r="P57" s="29" t="str">
        <f>VLOOKUP(A57,Model!C$2:J$93,3,FALSE)</f>
        <v xml:space="preserve">MAXIT Source TAXLOT_DTL_OPN.ZERO_BSS_IND
RJT Source: TAX_LOT_OPN_MSTR.ZERO_BSS_IND_F
</v>
      </c>
      <c r="Q57" s="29">
        <f>VLOOKUP(A57,Model!C$2:J$93,8,FALSE)</f>
        <v>56</v>
      </c>
      <c r="R57" s="2" t="b">
        <f>VLOOKUP(C57,Table!A$2:F$98,1,FALSE)=C57</f>
        <v>1</v>
      </c>
      <c r="S57" s="2" t="str">
        <f>VLOOKUP(SUBSTITUTE(A57," ","_"),View!A$2:I$106,1,FALSE)</f>
        <v>ZERO_COST_BASIS_FLAG</v>
      </c>
      <c r="T57" s="3" t="s">
        <v>57</v>
      </c>
      <c r="U57" s="5" t="s">
        <v>58</v>
      </c>
      <c r="V57" s="5" t="s">
        <v>255</v>
      </c>
      <c r="W57" s="5" t="s">
        <v>252</v>
      </c>
      <c r="X57" s="5" t="s">
        <v>48</v>
      </c>
      <c r="Y57" s="19"/>
      <c r="Z57" s="5"/>
    </row>
    <row r="58" spans="1:26" ht="345" hidden="1">
      <c r="A58" s="21" t="s">
        <v>256</v>
      </c>
      <c r="B58" s="21"/>
      <c r="C58" s="5" t="s">
        <v>257</v>
      </c>
      <c r="D58" s="5" t="s">
        <v>101</v>
      </c>
      <c r="E58" s="5" t="s">
        <v>48</v>
      </c>
      <c r="F58" s="5" t="s">
        <v>102</v>
      </c>
      <c r="G58" s="5" t="s">
        <v>48</v>
      </c>
      <c r="H58" s="27" t="s">
        <v>258</v>
      </c>
      <c r="I58" s="5"/>
      <c r="J58" s="5"/>
      <c r="K58" s="5"/>
      <c r="L58" s="5"/>
      <c r="M58" s="2" t="b">
        <f>VLOOKUP(A58,Model!C$2:J$93,2,FALSE)=C58</f>
        <v>1</v>
      </c>
      <c r="N58" s="5"/>
      <c r="O58" s="2" t="b">
        <f>VLOOKUP(A58,Model!C$2:J$93,3,FALSE)=H58</f>
        <v>0</v>
      </c>
      <c r="P58" s="29" t="str">
        <f>VLOOKUP(A58,Model!C$2:J$93,3,FALSE)</f>
        <v>Wash Sale Type 
from SRD</v>
      </c>
      <c r="Q58" s="29">
        <f>VLOOKUP(A58,Model!C$2:J$93,8,FALSE)</f>
        <v>57</v>
      </c>
      <c r="R58" s="2" t="b">
        <f>VLOOKUP(C58,Table!A$2:F$98,1,FALSE)=C58</f>
        <v>1</v>
      </c>
      <c r="S58" s="2" t="str">
        <f>VLOOKUP(SUBSTITUTE(A58," ","_"),View!A$2:I$106,1,FALSE)</f>
        <v>WASH_SALE_TYPE</v>
      </c>
      <c r="T58" s="3"/>
      <c r="U58" s="5"/>
      <c r="V58" s="5" t="s">
        <v>160</v>
      </c>
      <c r="W58" s="5"/>
      <c r="X58" s="5"/>
      <c r="Y58" s="38" t="s">
        <v>259</v>
      </c>
      <c r="Z58" s="5"/>
    </row>
    <row r="59" spans="1:26" ht="60" hidden="1">
      <c r="A59" s="21" t="s">
        <v>260</v>
      </c>
      <c r="B59" s="21"/>
      <c r="C59" s="5" t="s">
        <v>261</v>
      </c>
      <c r="D59" s="5" t="s">
        <v>111</v>
      </c>
      <c r="E59" s="5" t="s">
        <v>48</v>
      </c>
      <c r="F59" s="5" t="s">
        <v>112</v>
      </c>
      <c r="G59" s="5" t="s">
        <v>48</v>
      </c>
      <c r="H59" s="41" t="s">
        <v>262</v>
      </c>
      <c r="I59" s="5"/>
      <c r="J59" s="5"/>
      <c r="K59" s="5"/>
      <c r="L59" s="5"/>
      <c r="M59" s="2" t="b">
        <f>VLOOKUP(A59,Model!C$2:J$93,2,FALSE)=C59</f>
        <v>1</v>
      </c>
      <c r="N59" s="5"/>
      <c r="O59" s="2" t="b">
        <f>VLOOKUP(A59,Model!C$2:J$93,3,FALSE)=H59</f>
        <v>0</v>
      </c>
      <c r="P59" s="29" t="str">
        <f>VLOOKUP(A59,Model!C$2:J$93,3,FALSE)</f>
        <v xml:space="preserve">MAXIT Source: TAXLOT_DTL_OPN.DISALWD_WASHSALE_AMT
RJT Source: TAX_LOT_OPN_MSTR.NML_CCY_WASH_SALE_AMT
</v>
      </c>
      <c r="Q59" s="29">
        <f>VLOOKUP(A59,Model!C$2:J$93,8,FALSE)</f>
        <v>58</v>
      </c>
      <c r="R59" s="2" t="b">
        <f>VLOOKUP(C59,Table!A$2:F$98,1,FALSE)=C59</f>
        <v>1</v>
      </c>
      <c r="S59" s="2" t="str">
        <f>VLOOKUP(SUBSTITUTE(A59," ","_"),View!A$2:I$106,1,FALSE)</f>
        <v>SYSTEM_BASE_CURRENCY_DISALLOWED_WASH_SALE_AMOUNT</v>
      </c>
      <c r="T59" s="3" t="s">
        <v>57</v>
      </c>
      <c r="U59" s="5" t="s">
        <v>58</v>
      </c>
      <c r="V59" s="5" t="s">
        <v>137</v>
      </c>
      <c r="W59" s="5" t="s">
        <v>111</v>
      </c>
      <c r="X59" s="5" t="s">
        <v>48</v>
      </c>
      <c r="Y59" s="38"/>
      <c r="Z59" s="5"/>
    </row>
    <row r="60" spans="1:26" ht="105" hidden="1">
      <c r="A60" s="21" t="s">
        <v>263</v>
      </c>
      <c r="B60" s="21"/>
      <c r="C60" s="5" t="s">
        <v>264</v>
      </c>
      <c r="D60" s="5" t="s">
        <v>111</v>
      </c>
      <c r="E60" s="5" t="s">
        <v>48</v>
      </c>
      <c r="F60" s="5" t="s">
        <v>112</v>
      </c>
      <c r="G60" s="5" t="s">
        <v>48</v>
      </c>
      <c r="H60" s="41" t="s">
        <v>265</v>
      </c>
      <c r="I60" s="5"/>
      <c r="J60" s="5"/>
      <c r="K60" s="5"/>
      <c r="L60" s="5"/>
      <c r="M60" s="2" t="b">
        <f>VLOOKUP(A60,Model!C$2:J$93,2,FALSE)=C60</f>
        <v>1</v>
      </c>
      <c r="N60" s="5"/>
      <c r="O60" s="2" t="b">
        <f>VLOOKUP(A60,Model!C$2:J$93,3,FALSE)=H60</f>
        <v>0</v>
      </c>
      <c r="P60" s="29" t="str">
        <f>VLOOKUP(A60,Model!C$2:J$93,3,FALSE)</f>
        <v xml:space="preserve">Adjusted cost for the Lot
MAXIT source: TAXLOT_DTL_OPN.ADJ_COST
RJT Source: TAX_LOT_OPN_ASOF	NML_CCY_ASOF_ADJ_COST_AMT
</v>
      </c>
      <c r="Q60" s="29">
        <f>VLOOKUP(A60,Model!C$2:J$93,8,FALSE)</f>
        <v>59</v>
      </c>
      <c r="R60" s="2" t="b">
        <f>VLOOKUP(C60,Table!A$2:F$98,1,FALSE)=C60</f>
        <v>1</v>
      </c>
      <c r="S60" s="2" t="str">
        <f>VLOOKUP(SUBSTITUTE(A60," ","_"),View!A$2:I$106,1,FALSE)</f>
        <v>SYSTEM_BASE_CURRENCY_ADJUSTED_COST</v>
      </c>
      <c r="T60" s="3" t="s">
        <v>57</v>
      </c>
      <c r="U60" s="5" t="s">
        <v>58</v>
      </c>
      <c r="V60" s="5" t="s">
        <v>114</v>
      </c>
      <c r="W60" s="5" t="s">
        <v>111</v>
      </c>
      <c r="X60" s="5" t="s">
        <v>48</v>
      </c>
      <c r="Y60" s="19" t="s">
        <v>115</v>
      </c>
      <c r="Z60" s="5"/>
    </row>
    <row r="61" spans="1:26" ht="122.25" hidden="1" customHeight="1">
      <c r="A61" s="21" t="s">
        <v>266</v>
      </c>
      <c r="B61" s="21"/>
      <c r="C61" s="5" t="s">
        <v>267</v>
      </c>
      <c r="D61" s="5" t="s">
        <v>111</v>
      </c>
      <c r="E61" s="5" t="s">
        <v>48</v>
      </c>
      <c r="F61" s="5" t="s">
        <v>112</v>
      </c>
      <c r="G61" s="5" t="s">
        <v>48</v>
      </c>
      <c r="H61" s="41" t="s">
        <v>268</v>
      </c>
      <c r="I61" s="5"/>
      <c r="J61" s="5"/>
      <c r="K61" s="5"/>
      <c r="L61" s="5"/>
      <c r="M61" s="2" t="b">
        <f>VLOOKUP(A61,Model!C$2:J$93,2,FALSE)=C61</f>
        <v>1</v>
      </c>
      <c r="N61" s="5"/>
      <c r="O61" s="2" t="b">
        <f>VLOOKUP(A61,Model!C$2:J$93,3,FALSE)=H61</f>
        <v>0</v>
      </c>
      <c r="P61" s="29" t="str">
        <f>VLOOKUP(A61,Model!C$2:J$93,3,FALSE)</f>
        <v xml:space="preserve">MAXIT Source: TAXLOT_DTL_OPN.FMV
For MAXIT (Brokerage) Fair market value of the tax lot at the point of gifting or inheritance
Source: FMV
For gifted or inherited transactions only.  
Sourced from:
1) account to account RAD Activity receive record sent to Maxit from RJ
2) CBRS record received from contra firm
3) manual entry by business 
</v>
      </c>
      <c r="Q61" s="29">
        <f>VLOOKUP(A61,Model!C$2:J$93,8,FALSE)</f>
        <v>60</v>
      </c>
      <c r="R61" s="2" t="b">
        <f>VLOOKUP(C61,Table!A$2:F$98,1,FALSE)=C61</f>
        <v>1</v>
      </c>
      <c r="S61" s="2" t="str">
        <f>VLOOKUP(SUBSTITUTE(A61," ","_"),View!A$2:I$106,1,FALSE)</f>
        <v>SYSTEM_BASE_CURRENCY_FAIR_MARKET_VALUE</v>
      </c>
      <c r="T61" s="3" t="s">
        <v>57</v>
      </c>
      <c r="U61" s="5" t="s">
        <v>58</v>
      </c>
      <c r="V61" s="5" t="s">
        <v>145</v>
      </c>
      <c r="W61" s="5" t="s">
        <v>111</v>
      </c>
      <c r="X61" s="5" t="s">
        <v>48</v>
      </c>
      <c r="Y61" s="19" t="s">
        <v>146</v>
      </c>
      <c r="Z61" s="5"/>
    </row>
    <row r="62" spans="1:26" ht="99.75" hidden="1" customHeight="1">
      <c r="A62" s="21" t="s">
        <v>269</v>
      </c>
      <c r="B62" s="21"/>
      <c r="C62" s="5" t="s">
        <v>176</v>
      </c>
      <c r="D62" s="5" t="s">
        <v>111</v>
      </c>
      <c r="E62" s="5" t="s">
        <v>48</v>
      </c>
      <c r="F62" s="5" t="s">
        <v>112</v>
      </c>
      <c r="G62" s="5" t="s">
        <v>48</v>
      </c>
      <c r="H62" s="27" t="s">
        <v>270</v>
      </c>
      <c r="I62" s="5"/>
      <c r="J62" s="5"/>
      <c r="K62" s="5"/>
      <c r="L62" s="5"/>
      <c r="M62" s="2" t="b">
        <f>VLOOKUP(A62,Model!C$2:J$93,2,FALSE)=C62</f>
        <v>1</v>
      </c>
      <c r="N62" s="5"/>
      <c r="O62" s="2" t="b">
        <f>VLOOKUP(A62,Model!C$2:J$93,3,FALSE)=H62</f>
        <v>0</v>
      </c>
      <c r="P62" s="29" t="str">
        <f>VLOOKUP(A62,Model!C$2:J$93,3,FALSE)</f>
        <v xml:space="preserve">Price_factor of opening transaction
Used for factored bonds
MAXIT Source: TAXLOT_DTL_OPN.OPN_FCTR
RJT Source: TAX_LOT_OPN_MSTR.NML_CCY_OPN_PRC_FCTR
</v>
      </c>
      <c r="Q62" s="29">
        <f>VLOOKUP(A62,Model!C$2:J$93,8,FALSE)</f>
        <v>61</v>
      </c>
      <c r="R62" s="2" t="b">
        <f>VLOOKUP(C62,Table!A$2:F$98,1,FALSE)=C62</f>
        <v>1</v>
      </c>
      <c r="S62" s="2" t="str">
        <f>VLOOKUP(SUBSTITUTE(A62," ","_"),View!A$2:I$106,1,FALSE)</f>
        <v>SYSTEM_BASE_CURRENCY_OPEN_PRICE_FACTOR</v>
      </c>
      <c r="T62" s="3" t="s">
        <v>57</v>
      </c>
      <c r="U62" s="5" t="s">
        <v>58</v>
      </c>
      <c r="V62" s="5" t="s">
        <v>176</v>
      </c>
      <c r="W62" s="5" t="s">
        <v>111</v>
      </c>
      <c r="X62" s="5" t="s">
        <v>48</v>
      </c>
      <c r="Y62" s="19" t="s">
        <v>177</v>
      </c>
      <c r="Z62" s="5"/>
    </row>
    <row r="63" spans="1:26" ht="158.25" hidden="1" customHeight="1">
      <c r="A63" s="21" t="s">
        <v>271</v>
      </c>
      <c r="B63" s="21"/>
      <c r="C63" s="5" t="s">
        <v>272</v>
      </c>
      <c r="D63" s="5" t="s">
        <v>111</v>
      </c>
      <c r="E63" s="5" t="s">
        <v>48</v>
      </c>
      <c r="F63" s="5" t="s">
        <v>112</v>
      </c>
      <c r="G63" s="5" t="s">
        <v>48</v>
      </c>
      <c r="H63" s="27" t="s">
        <v>273</v>
      </c>
      <c r="I63" s="5"/>
      <c r="J63" s="5"/>
      <c r="K63" s="5"/>
      <c r="L63" s="5"/>
      <c r="M63" s="2" t="b">
        <f>VLOOKUP(A63,Model!C$2:J$93,2,FALSE)=C63</f>
        <v>1</v>
      </c>
      <c r="N63" s="5"/>
      <c r="O63" s="2" t="b">
        <f>VLOOKUP(A63,Model!C$2:J$93,3,FALSE)=H63</f>
        <v>0</v>
      </c>
      <c r="P63" s="29" t="str">
        <f>VLOOKUP(A63,Model!C$2:J$93,3,FALSE)</f>
        <v xml:space="preserve">Original total purchase cost of the instrument
Buy, the net amount is shown. 
Sell, cost sold for a sell is displayed. 
Note: This field cannot be used currently as it is not prorated or adjusted for changes/actions/partial sells where a change in quantity is made.
MAXIT Source: TAXLOT_DTL_OPN.ORIG_COST
RJT Source:TAX_LOT_OPN_ASOF.NML_ASOF_CRN_COST_AMT
</v>
      </c>
      <c r="Q63" s="29">
        <f>VLOOKUP(A63,Model!C$2:J$93,8,FALSE)</f>
        <v>62</v>
      </c>
      <c r="R63" s="2" t="b">
        <f>VLOOKUP(C63,Table!A$2:F$98,1,FALSE)=C63</f>
        <v>1</v>
      </c>
      <c r="S63" s="2" t="str">
        <f>VLOOKUP(SUBSTITUTE(A63," ","_"),View!A$2:I$106,1,FALSE)</f>
        <v>SYSTEM_BASE_CURRENCY_COST_AMOUNT</v>
      </c>
      <c r="T63" s="3" t="s">
        <v>57</v>
      </c>
      <c r="U63" s="5" t="s">
        <v>58</v>
      </c>
      <c r="V63" s="5" t="s">
        <v>274</v>
      </c>
      <c r="W63" s="5" t="s">
        <v>111</v>
      </c>
      <c r="X63" s="5" t="s">
        <v>48</v>
      </c>
      <c r="Y63" s="19" t="s">
        <v>188</v>
      </c>
      <c r="Z63" s="5"/>
    </row>
    <row r="64" spans="1:26" ht="210" hidden="1">
      <c r="A64" s="21" t="s">
        <v>275</v>
      </c>
      <c r="B64" s="21"/>
      <c r="C64" s="5" t="s">
        <v>198</v>
      </c>
      <c r="D64" s="5" t="s">
        <v>276</v>
      </c>
      <c r="E64" s="5" t="s">
        <v>48</v>
      </c>
      <c r="F64" s="5" t="s">
        <v>277</v>
      </c>
      <c r="G64" s="5" t="s">
        <v>48</v>
      </c>
      <c r="H64" s="27" t="s">
        <v>278</v>
      </c>
      <c r="I64" s="5"/>
      <c r="J64" s="5"/>
      <c r="K64" s="5"/>
      <c r="L64" s="5"/>
      <c r="M64" s="2" t="b">
        <f>VLOOKUP(A64,Model!C$2:J$93,2,FALSE)=C64</f>
        <v>1</v>
      </c>
      <c r="N64" s="5"/>
      <c r="O64" s="2" t="b">
        <f>VLOOKUP(A64,Model!C$2:J$93,3,FALSE)=H64</f>
        <v>0</v>
      </c>
      <c r="P64" s="29" t="str">
        <f>VLOOKUP(A64,Model!C$2:J$93,3,FALSE)</f>
        <v xml:space="preserve">Per share price of the opening tax lot.
big_prc of the Buy/open short. Will be populated for a sell with opening price. 
Note: This field cannot be used currently as it is not prorated or adjusted for changes/actions/partial sells where a change in quantity is made.
MAXIT Source: TAXLOT_DTL_OPN.ORIG_PRC
RJT Source: TAX_LOT_OPN_MSTR.NML_CCY_ORIG_PRC
</v>
      </c>
      <c r="Q64" s="29">
        <f>VLOOKUP(A64,Model!C$2:J$93,8,FALSE)</f>
        <v>63</v>
      </c>
      <c r="R64" s="2" t="b">
        <f>VLOOKUP(C64,Table!A$2:F$98,1,FALSE)=C64</f>
        <v>1</v>
      </c>
      <c r="S64" s="2" t="str">
        <f>VLOOKUP(SUBSTITUTE(A64," ","_"),View!A$2:I$106,1,FALSE)</f>
        <v>SYSTEM_BASE_CURRENCY_ORIGINAL_PRICE</v>
      </c>
      <c r="T64" s="3" t="s">
        <v>57</v>
      </c>
      <c r="U64" s="5" t="s">
        <v>58</v>
      </c>
      <c r="V64" s="5" t="s">
        <v>198</v>
      </c>
      <c r="W64" s="5" t="s">
        <v>276</v>
      </c>
      <c r="X64" s="5" t="s">
        <v>48</v>
      </c>
      <c r="Y64" s="19" t="s">
        <v>199</v>
      </c>
      <c r="Z64" s="5"/>
    </row>
    <row r="65" spans="1:26" ht="135" hidden="1">
      <c r="A65" s="21" t="s">
        <v>279</v>
      </c>
      <c r="B65" s="21"/>
      <c r="C65" s="5" t="s">
        <v>280</v>
      </c>
      <c r="D65" s="5" t="s">
        <v>111</v>
      </c>
      <c r="E65" s="5" t="s">
        <v>48</v>
      </c>
      <c r="F65" s="5" t="s">
        <v>112</v>
      </c>
      <c r="G65" s="5" t="s">
        <v>48</v>
      </c>
      <c r="H65" s="27" t="s">
        <v>202</v>
      </c>
      <c r="I65" s="5"/>
      <c r="J65" s="5"/>
      <c r="K65" s="5"/>
      <c r="L65" s="5"/>
      <c r="M65" s="2" t="b">
        <f>VLOOKUP(A65,Model!C$2:J$93,2,FALSE)=C65</f>
        <v>1</v>
      </c>
      <c r="N65" s="5"/>
      <c r="O65" s="2" t="b">
        <f>VLOOKUP(A65,Model!C$2:J$93,3,FALSE)=H65</f>
        <v>0</v>
      </c>
      <c r="P65" s="29" t="str">
        <f>VLOOKUP(A65,Model!C$2:J$93,3,FALSE)</f>
        <v xml:space="preserve">Net_amount of asgn sell before adding premium.
Note: This field cannot be used currently as it is not prorated or adjusted for changes/actions/partial sells where a change in quantity is made.
MAXIT Source: TAXLOT_DTL_OPN.ORIG_PROCD
RJT Source: TAX_LOT_OPN_MSTR.NML_CCY_ORIG_PROCD_AMT
</v>
      </c>
      <c r="Q65" s="29">
        <f>VLOOKUP(A65,Model!C$2:J$93,8,FALSE)</f>
        <v>64</v>
      </c>
      <c r="R65" s="2" t="b">
        <f>VLOOKUP(C65,Table!A$2:F$98,1,FALSE)=C65</f>
        <v>1</v>
      </c>
      <c r="S65" s="2" t="str">
        <f>VLOOKUP(SUBSTITUTE(A65," ","_"),View!A$2:I$106,1,FALSE)</f>
        <v>SYSTEM_BASE_CURRENCY_ORIGINAL_PROCEED</v>
      </c>
      <c r="T65" s="3" t="s">
        <v>57</v>
      </c>
      <c r="U65" s="5" t="s">
        <v>58</v>
      </c>
      <c r="V65" s="5" t="s">
        <v>203</v>
      </c>
      <c r="W65" s="5" t="s">
        <v>111</v>
      </c>
      <c r="X65" s="5" t="s">
        <v>48</v>
      </c>
      <c r="Y65" s="19" t="s">
        <v>204</v>
      </c>
      <c r="Z65" s="5"/>
    </row>
    <row r="66" spans="1:26" ht="45" hidden="1">
      <c r="A66" s="21" t="s">
        <v>281</v>
      </c>
      <c r="B66" s="21"/>
      <c r="C66" s="5" t="s">
        <v>282</v>
      </c>
      <c r="D66" s="5" t="s">
        <v>41</v>
      </c>
      <c r="E66" s="5" t="s">
        <v>48</v>
      </c>
      <c r="F66" s="5" t="s">
        <v>43</v>
      </c>
      <c r="G66" s="5" t="s">
        <v>48</v>
      </c>
      <c r="H66" s="27" t="s">
        <v>283</v>
      </c>
      <c r="I66" s="5"/>
      <c r="J66" s="5"/>
      <c r="K66" s="5"/>
      <c r="L66" s="5"/>
      <c r="M66" s="2" t="b">
        <f>VLOOKUP(A66,Model!C$2:J$93,2,FALSE)=C66</f>
        <v>1</v>
      </c>
      <c r="N66" s="5"/>
      <c r="O66" s="2" t="b">
        <f>VLOOKUP(A66,Model!C$2:J$93,3,FALSE)=H66</f>
        <v>0</v>
      </c>
      <c r="P66" s="29" t="str">
        <f>VLOOKUP(A66,Model!C$2:J$93,3,FALSE)</f>
        <v xml:space="preserve">MAXIT: Hardcode ??? We need to setup a source system
RJT Source: TAX_LOT_OPN_MSTR.SRC_STM_ID
</v>
      </c>
      <c r="Q66" s="29">
        <f>VLOOKUP(A66,Model!C$2:J$93,8,FALSE)</f>
        <v>66</v>
      </c>
      <c r="R66" s="2" t="b">
        <f>VLOOKUP(C66,Table!A$2:F$98,1,FALSE)=C66</f>
        <v>1</v>
      </c>
      <c r="S66" s="2" t="str">
        <f>VLOOKUP(SUBSTITUTE(A66," ","_"),View!A$2:I$106,1,FALSE)</f>
        <v>SOURCE_SYSTEM_ID</v>
      </c>
      <c r="T66" s="3" t="s">
        <v>57</v>
      </c>
      <c r="U66" s="5" t="s">
        <v>58</v>
      </c>
      <c r="V66" s="5" t="s">
        <v>282</v>
      </c>
      <c r="W66" s="5" t="s">
        <v>41</v>
      </c>
      <c r="X66" s="5" t="s">
        <v>48</v>
      </c>
      <c r="Y66" s="19"/>
      <c r="Z66" s="5"/>
    </row>
    <row r="67" spans="1:26" ht="90" hidden="1">
      <c r="A67" s="21" t="s">
        <v>284</v>
      </c>
      <c r="B67" s="21"/>
      <c r="C67" s="5" t="s">
        <v>285</v>
      </c>
      <c r="D67" s="5" t="s">
        <v>286</v>
      </c>
      <c r="E67" s="5" t="s">
        <v>48</v>
      </c>
      <c r="F67" s="5" t="s">
        <v>287</v>
      </c>
      <c r="G67" s="5" t="s">
        <v>48</v>
      </c>
      <c r="H67" s="27" t="s">
        <v>288</v>
      </c>
      <c r="I67" s="5"/>
      <c r="J67" s="5"/>
      <c r="K67" s="5"/>
      <c r="L67" s="5"/>
      <c r="M67" s="2" t="b">
        <f>VLOOKUP(A67,Model!C$2:J$93,2,FALSE)=C67</f>
        <v>1</v>
      </c>
      <c r="N67" s="5"/>
      <c r="O67" s="2" t="b">
        <f>VLOOKUP(A67,Model!C$2:J$93,3,FALSE)=H67</f>
        <v>0</v>
      </c>
      <c r="P67" s="29" t="str">
        <f>VLOOKUP(A67,Model!C$2:J$93,3,FALSE)</f>
        <v xml:space="preserve">Name of the source system e.g., SIS - Securities Industry Software, Raymond James, Raymond James Bank, Shadow Suite
MAXIT: Hardcode ??? We need to setup a source system
RJT Source: TAX_LOT_OPN_MSTR.SRC_STM_ID
</v>
      </c>
      <c r="Q67" s="29">
        <f>VLOOKUP(A67,Model!C$2:J$93,8,FALSE)</f>
        <v>67</v>
      </c>
      <c r="R67" s="2" t="b">
        <f>VLOOKUP(C67,Table!A$2:F$98,1,FALSE)=C67</f>
        <v>1</v>
      </c>
      <c r="S67" s="2" t="str">
        <f>VLOOKUP(SUBSTITUTE(A67," ","_"),View!A$2:I$106,1,FALSE)</f>
        <v>SOURCE_SYSTEM_NAME</v>
      </c>
      <c r="T67" s="3" t="s">
        <v>51</v>
      </c>
      <c r="U67" s="5" t="s">
        <v>52</v>
      </c>
      <c r="V67" s="5" t="s">
        <v>285</v>
      </c>
      <c r="W67" s="5" t="s">
        <v>286</v>
      </c>
      <c r="X67" s="5" t="s">
        <v>48</v>
      </c>
      <c r="Y67" s="19" t="s">
        <v>289</v>
      </c>
      <c r="Z67" s="5"/>
    </row>
    <row r="68" spans="1:26" ht="90" hidden="1">
      <c r="A68" s="21" t="s">
        <v>290</v>
      </c>
      <c r="B68" s="21"/>
      <c r="C68" s="5" t="s">
        <v>291</v>
      </c>
      <c r="D68" s="5" t="s">
        <v>41</v>
      </c>
      <c r="E68" s="5" t="s">
        <v>48</v>
      </c>
      <c r="F68" s="5" t="s">
        <v>43</v>
      </c>
      <c r="G68" s="5" t="s">
        <v>48</v>
      </c>
      <c r="H68" s="27" t="s">
        <v>292</v>
      </c>
      <c r="I68" s="5"/>
      <c r="J68" s="5"/>
      <c r="K68" s="5"/>
      <c r="L68" s="5"/>
      <c r="M68" s="2" t="b">
        <f>VLOOKUP(A68,Model!C$2:J$93,2,FALSE)=C68</f>
        <v>1</v>
      </c>
      <c r="N68" s="5"/>
      <c r="O68" s="2" t="b">
        <f>VLOOKUP(A68,Model!C$2:J$93,3,FALSE)=H68</f>
        <v>0</v>
      </c>
      <c r="P68" s="29" t="str">
        <f>VLOOKUP(A68,Model!C$2:J$93,3,FALSE)</f>
        <v xml:space="preserve">Numeric identifier of the accounting type ID (e.g., 1006, 1001)
Lookup using Accounting type Code (MAXIT TAXLOT_DTL_OPN.AC_TP, RJT TAX_LOT_OPN_MSTR.ACG_TP_CODE)
</v>
      </c>
      <c r="Q68" s="29">
        <f>VLOOKUP(A68,Model!C$2:J$93,8,FALSE)</f>
        <v>68</v>
      </c>
      <c r="R68" s="2" t="b">
        <f>VLOOKUP(C68,Table!A$2:F$98,1,FALSE)=C68</f>
        <v>1</v>
      </c>
      <c r="S68" s="2" t="str">
        <f>VLOOKUP(SUBSTITUTE(A68," ","_"),View!A$2:I$106,1,FALSE)</f>
        <v>ACCOUNTING_TYPE_ID</v>
      </c>
      <c r="T68" s="3" t="s">
        <v>51</v>
      </c>
      <c r="U68" s="5" t="s">
        <v>104</v>
      </c>
      <c r="V68" s="5" t="s">
        <v>291</v>
      </c>
      <c r="W68" s="5" t="s">
        <v>41</v>
      </c>
      <c r="X68" s="5" t="s">
        <v>48</v>
      </c>
      <c r="Y68" s="38" t="s">
        <v>293</v>
      </c>
      <c r="Z68" s="5"/>
    </row>
    <row r="69" spans="1:26" ht="409.5" hidden="1">
      <c r="A69" s="21" t="s">
        <v>294</v>
      </c>
      <c r="B69" s="21"/>
      <c r="C69" s="5" t="s">
        <v>295</v>
      </c>
      <c r="D69" s="5" t="s">
        <v>101</v>
      </c>
      <c r="E69" s="5" t="s">
        <v>48</v>
      </c>
      <c r="F69" s="5" t="s">
        <v>102</v>
      </c>
      <c r="G69" s="5" t="s">
        <v>48</v>
      </c>
      <c r="H69" s="27" t="s">
        <v>296</v>
      </c>
      <c r="I69" s="5"/>
      <c r="J69" s="5"/>
      <c r="K69" s="5"/>
      <c r="L69" s="5"/>
      <c r="M69" s="2" t="b">
        <f>VLOOKUP(A69,Model!C$2:J$93,2,FALSE)=C69</f>
        <v>1</v>
      </c>
      <c r="N69" s="5"/>
      <c r="O69" s="2" t="b">
        <f>VLOOKUP(A69,Model!C$2:J$93,3,FALSE)=H69</f>
        <v>0</v>
      </c>
      <c r="P69" s="29" t="str">
        <f>VLOOKUP(A69,Model!C$2:J$93,3,FALSE)</f>
        <v xml:space="preserve">logic:
1.	For inherited tax lots, it is set to Inherited
1.1.	For Brokerage accounts, this is when the ACAT Type is null and Original Transaction Type is INH from the tax lot detail open table or ACAT Type is INH from the tax lot detail open table 
1.2.	For RJ Trust accounts, this is when the Tax Lot Transaction Type Identifier is 2846 from the tax lot open master table
2.	For gifted or gifted then inherited tax lots, it is set to Gift
2.1	For Brokerage accounts, this is when the ACAT Type is null and Original Transaction Type is GFT from the tax lot detail open table or ACAT Type is GFT or ITG from the tax lot detail open table 
2.2	For RJ Trust accounts, this is when the Tax Lot Transaction Type Identifier is 2851 from the tax lot open master table
3.	For reinvested tax lots, it is set to Reinvestment
3.1.	For Brokerage accounts, this is when the ACAT Type is not GFT, INH or ITG and the Reinvest Flag is Y from the tax lot detail open table
3.2.	For RJ Trust accounts, this is when the Tax Lot Transaction Type Identifier is not 2846 or 2851 and the Reinvest Flag is Y from the tax lot open master table
4.	For all other tax lots
4.1	For Brokerage accounts, it is the High Level Definition from the record type table where
4.1.1.	Open Close Indicator from record type table is O
4.1.2.	Realized Closing Flag is N
4.1.3.	Opening Transaction Event Id from the tax lot detail open table matches the Transaction Event Id from record type table 
4.1.4.	Otherwise, if match is not found, then set to null
4.2	For RJ Trust accounts, it is the Classification Value Name from the classification value table where
4.2.1	Tax Lot Transaction Type Identifier from the tax lot open master table matches the Classification Value Identifier from the classification table
4.2.2Classification Source Identifier from the classification table is 84
4.3	Otherwise, if match is not found, then set to null
</v>
      </c>
      <c r="Q69" s="29">
        <f>VLOOKUP(A69,Model!C$2:J$93,8,FALSE)</f>
        <v>74</v>
      </c>
      <c r="R69" s="2" t="b">
        <f>VLOOKUP(C69,Table!A$2:F$98,1,FALSE)=C69</f>
        <v>1</v>
      </c>
      <c r="S69" s="2" t="str">
        <f>VLOOKUP(SUBSTITUTE(A69," ","_"),View!A$2:I$106,1,FALSE)</f>
        <v>TAX_LOT_TYPE</v>
      </c>
      <c r="T69" s="44" t="s">
        <v>63</v>
      </c>
      <c r="U69" s="45" t="s">
        <v>181</v>
      </c>
      <c r="V69" s="5" t="s">
        <v>182</v>
      </c>
      <c r="W69" s="5"/>
      <c r="X69" s="5" t="s">
        <v>48</v>
      </c>
      <c r="Y69" s="19" t="s">
        <v>297</v>
      </c>
      <c r="Z69" s="5"/>
    </row>
    <row r="70" spans="1:26" ht="105" hidden="1">
      <c r="A70" s="21" t="s">
        <v>298</v>
      </c>
      <c r="B70" s="21"/>
      <c r="C70" s="5" t="s">
        <v>299</v>
      </c>
      <c r="D70" s="5" t="s">
        <v>71</v>
      </c>
      <c r="E70" s="5" t="s">
        <v>48</v>
      </c>
      <c r="F70" s="5" t="s">
        <v>72</v>
      </c>
      <c r="G70" s="5" t="s">
        <v>48</v>
      </c>
      <c r="H70" s="27" t="s">
        <v>300</v>
      </c>
      <c r="I70" s="5"/>
      <c r="J70" s="5"/>
      <c r="K70" s="5"/>
      <c r="L70" s="5"/>
      <c r="M70" s="2" t="b">
        <f>VLOOKUP(A70,Model!C$2:J$93,2,FALSE)=C70</f>
        <v>1</v>
      </c>
      <c r="N70" s="5"/>
      <c r="O70" s="2" t="b">
        <f>VLOOKUP(A70,Model!C$2:J$93,3,FALSE)=H70</f>
        <v>0</v>
      </c>
      <c r="P70" s="29" t="str">
        <f>VLOOKUP(A70,Model!C$2:J$93,3,FALSE)</f>
        <v xml:space="preserve">
For Brokerage if the covered uncovered from tax lot detail open table is C, then set to Y Otherwise, set to N
For RJ Trust accounts if the Covered Flag from the tax lot open master table is C, then set to Y Otherwise, set to N 
</v>
      </c>
      <c r="Q70" s="29">
        <f>VLOOKUP(A70,Model!C$2:J$93,8,FALSE)</f>
        <v>75</v>
      </c>
      <c r="R70" s="2" t="b">
        <f>VLOOKUP(C70,Table!A$2:F$98,1,FALSE)=C70</f>
        <v>1</v>
      </c>
      <c r="S70" s="2" t="str">
        <f>VLOOKUP(SUBSTITUTE(A70," ","_"),View!A$2:I$106,1,FALSE)</f>
        <v>COST_BASIS_LEGISLATION_COVERAGE_FLAG</v>
      </c>
      <c r="T70" s="3" t="s">
        <v>57</v>
      </c>
      <c r="U70" s="5" t="s">
        <v>58</v>
      </c>
      <c r="V70" s="5" t="s">
        <v>133</v>
      </c>
      <c r="W70" s="5" t="s">
        <v>71</v>
      </c>
      <c r="X70" s="5" t="s">
        <v>48</v>
      </c>
      <c r="Y70" s="19" t="s">
        <v>301</v>
      </c>
      <c r="Z70" s="5"/>
    </row>
    <row r="71" spans="1:26" s="39" customFormat="1" ht="240" hidden="1">
      <c r="A71" s="21" t="s">
        <v>302</v>
      </c>
      <c r="B71" s="21"/>
      <c r="C71" s="21" t="s">
        <v>303</v>
      </c>
      <c r="D71" s="21" t="s">
        <v>71</v>
      </c>
      <c r="E71" s="21" t="s">
        <v>48</v>
      </c>
      <c r="F71" s="21" t="s">
        <v>72</v>
      </c>
      <c r="G71" s="21" t="s">
        <v>48</v>
      </c>
      <c r="H71" s="29" t="s">
        <v>304</v>
      </c>
      <c r="I71" s="21"/>
      <c r="J71" s="21"/>
      <c r="K71" s="21"/>
      <c r="L71" s="21"/>
      <c r="M71" s="2" t="b">
        <f>VLOOKUP(A71,Model!C$2:J$93,2,FALSE)=C71</f>
        <v>1</v>
      </c>
      <c r="N71" s="21"/>
      <c r="O71" s="2" t="b">
        <f>VLOOKUP(A71,Model!C$2:J$93,3,FALSE)=H71</f>
        <v>0</v>
      </c>
      <c r="P71" s="29" t="str">
        <f>VLOOKUP(A71,Model!C$2:J$93,3,FALSE)</f>
        <v xml:space="preserve">For Brokerage accounts_x000D_
 If the reinvest flag from tax lot detail open is not equal to Y_x000D_
  If the missing cost flag from tax lot detail open is Y, then set to Y_x000D_
  If the missing average cost flag (null flag) from tax lot detail open is Y, then set to Y_x000D_
 Otherwise, set to N_x000D_
_x000D_
For RJ Trust accounts_x000D_
 If the reinvest flag from tax lot open master is not equal to Y_x000D_
  If the Missing Cost Flag from the tax lot open master table is Y, then set to Y_x000D_
  If the Null Basis Flag from the tax lot open master table is Y, then set to Y_x000D_
?Otherwise, set to N_x000D_
_x000D_
</v>
      </c>
      <c r="Q71" s="29">
        <f>VLOOKUP(A71,Model!C$2:J$93,8,FALSE)</f>
        <v>77</v>
      </c>
      <c r="R71" s="2" t="b">
        <f>VLOOKUP(C71,Table!A$2:F$98,1,FALSE)=C71</f>
        <v>1</v>
      </c>
      <c r="S71" s="2" t="str">
        <f>VLOOKUP(SUBSTITUTE(A71," ","_"),View!A$2:I$106,1,FALSE)</f>
        <v>MISSING_INVEST_COST_FLAG</v>
      </c>
      <c r="T71" s="3"/>
      <c r="U71" s="5"/>
      <c r="V71" s="5"/>
      <c r="W71" s="21" t="s">
        <v>71</v>
      </c>
      <c r="X71" s="21" t="s">
        <v>48</v>
      </c>
      <c r="Y71" s="46" t="s">
        <v>305</v>
      </c>
      <c r="Z71" s="47"/>
    </row>
    <row r="72" spans="1:26" hidden="1">
      <c r="A72" s="21" t="s">
        <v>306</v>
      </c>
      <c r="B72" s="21"/>
      <c r="C72" s="5" t="s">
        <v>307</v>
      </c>
      <c r="D72" s="5" t="s">
        <v>41</v>
      </c>
      <c r="E72" s="5" t="s">
        <v>48</v>
      </c>
      <c r="F72" s="5" t="s">
        <v>43</v>
      </c>
      <c r="G72" s="5" t="s">
        <v>48</v>
      </c>
      <c r="H72" s="27" t="s">
        <v>308</v>
      </c>
      <c r="I72" s="5"/>
      <c r="J72" s="5"/>
      <c r="K72" s="5"/>
      <c r="L72" s="5"/>
      <c r="M72" s="2" t="b">
        <f>VLOOKUP(A72,Model!C$2:J$93,2,FALSE)=C72</f>
        <v>1</v>
      </c>
      <c r="N72" s="5"/>
      <c r="O72" s="2" t="b">
        <f>VLOOKUP(A72,Model!C$2:J$93,3,FALSE)=H72</f>
        <v>0</v>
      </c>
      <c r="P72" s="29">
        <f>VLOOKUP(A72,Model!C$2:J$93,3,FALSE)</f>
        <v>0</v>
      </c>
      <c r="Q72" s="29">
        <f>VLOOKUP(A72,Model!C$2:J$93,8,FALSE)</f>
        <v>65</v>
      </c>
      <c r="R72" s="2" t="b">
        <f>VLOOKUP(C72,Table!A$2:F$98,1,FALSE)=C72</f>
        <v>1</v>
      </c>
      <c r="S72" s="2" t="e">
        <f>VLOOKUP(SUBSTITUTE(A72," ","_"),View!A$2:I$106,1,FALSE)</f>
        <v>#N/A</v>
      </c>
      <c r="T72" s="3"/>
      <c r="U72" s="5"/>
      <c r="V72" s="5"/>
      <c r="W72" s="5"/>
      <c r="X72" s="5" t="s">
        <v>48</v>
      </c>
      <c r="Y72" s="19"/>
      <c r="Z72" s="5"/>
    </row>
    <row r="73" spans="1:26" hidden="1">
      <c r="A73" s="21" t="s">
        <v>309</v>
      </c>
      <c r="B73" s="21"/>
      <c r="C73" s="5" t="s">
        <v>310</v>
      </c>
      <c r="D73" s="5" t="s">
        <v>311</v>
      </c>
      <c r="E73" s="5" t="s">
        <v>42</v>
      </c>
      <c r="F73" s="5" t="s">
        <v>311</v>
      </c>
      <c r="G73" s="5" t="s">
        <v>42</v>
      </c>
      <c r="H73" s="27" t="s">
        <v>312</v>
      </c>
      <c r="I73" s="5"/>
      <c r="J73" s="5"/>
      <c r="K73" s="5"/>
      <c r="L73" s="5"/>
      <c r="M73" s="2" t="b">
        <f>VLOOKUP(A73,Model!C$2:J$93,2,FALSE)=C73</f>
        <v>1</v>
      </c>
      <c r="N73" s="5"/>
      <c r="O73" s="2" t="b">
        <f>VLOOKUP(A73,Model!C$2:J$93,3,FALSE)=H73</f>
        <v>0</v>
      </c>
      <c r="P73" s="29">
        <f>VLOOKUP(A73,Model!C$2:J$93,3,FALSE)</f>
        <v>0</v>
      </c>
      <c r="Q73" s="29">
        <f>VLOOKUP(A73,Model!C$2:J$93,8,FALSE)</f>
        <v>69</v>
      </c>
      <c r="R73" s="2" t="b">
        <f>VLOOKUP(C73,Table!A$2:F$98,1,FALSE)=C73</f>
        <v>1</v>
      </c>
      <c r="S73" s="2" t="str">
        <f>VLOOKUP(SUBSTITUTE(A73," ","_"),View!A$2:I$106,1,FALSE)</f>
        <v>CREATE_DATETIME</v>
      </c>
      <c r="T73" s="3"/>
      <c r="U73" s="5"/>
      <c r="V73" s="5"/>
      <c r="W73" s="5"/>
      <c r="X73" s="5" t="s">
        <v>42</v>
      </c>
      <c r="Y73" s="19"/>
      <c r="Z73" s="5"/>
    </row>
    <row r="74" spans="1:26" ht="30" hidden="1">
      <c r="A74" s="21" t="s">
        <v>313</v>
      </c>
      <c r="B74" s="21"/>
      <c r="C74" s="5" t="s">
        <v>314</v>
      </c>
      <c r="D74" s="5" t="s">
        <v>315</v>
      </c>
      <c r="E74" s="5" t="s">
        <v>42</v>
      </c>
      <c r="F74" s="5" t="s">
        <v>316</v>
      </c>
      <c r="G74" s="5" t="s">
        <v>42</v>
      </c>
      <c r="H74" s="27" t="s">
        <v>317</v>
      </c>
      <c r="I74" s="5"/>
      <c r="J74" s="5"/>
      <c r="K74" s="5"/>
      <c r="L74" s="5"/>
      <c r="M74" s="2" t="b">
        <f>VLOOKUP(A74,Model!C$2:J$93,2,FALSE)=C74</f>
        <v>1</v>
      </c>
      <c r="N74" s="5"/>
      <c r="O74" s="2" t="b">
        <f>VLOOKUP(A74,Model!C$2:J$93,3,FALSE)=H74</f>
        <v>0</v>
      </c>
      <c r="P74" s="29" t="str">
        <f>VLOOKUP(A74,Model!C$2:J$93,3,FALSE)</f>
        <v>The name that represents the user who created an occurrence of a/an Open Tax Lots Fact.</v>
      </c>
      <c r="Q74" s="29">
        <f>VLOOKUP(A74,Model!C$2:J$93,8,FALSE)</f>
        <v>70</v>
      </c>
      <c r="R74" s="2" t="b">
        <f>VLOOKUP(C74,Table!A$2:F$98,1,FALSE)=C74</f>
        <v>1</v>
      </c>
      <c r="S74" s="2" t="str">
        <f>VLOOKUP(SUBSTITUTE(A74," ","_"),View!A$2:I$106,1,FALSE)</f>
        <v>CREATE_USER_NAME</v>
      </c>
      <c r="T74" s="3"/>
      <c r="U74" s="5"/>
      <c r="V74" s="5"/>
      <c r="W74" s="5"/>
      <c r="X74" s="5" t="s">
        <v>42</v>
      </c>
      <c r="Y74" s="19"/>
      <c r="Z74" s="5"/>
    </row>
    <row r="75" spans="1:26" ht="30" hidden="1">
      <c r="A75" s="21" t="s">
        <v>318</v>
      </c>
      <c r="B75" s="21"/>
      <c r="C75" s="5" t="s">
        <v>319</v>
      </c>
      <c r="D75" s="5" t="s">
        <v>311</v>
      </c>
      <c r="E75" s="5" t="s">
        <v>42</v>
      </c>
      <c r="F75" s="5" t="s">
        <v>311</v>
      </c>
      <c r="G75" s="5" t="s">
        <v>42</v>
      </c>
      <c r="H75" s="27" t="s">
        <v>320</v>
      </c>
      <c r="I75" s="5"/>
      <c r="J75" s="5"/>
      <c r="K75" s="5"/>
      <c r="L75" s="5"/>
      <c r="M75" s="2" t="b">
        <f>VLOOKUP(A75,Model!C$2:J$93,2,FALSE)=C75</f>
        <v>1</v>
      </c>
      <c r="N75" s="5"/>
      <c r="O75" s="2" t="b">
        <f>VLOOKUP(A75,Model!C$2:J$93,3,FALSE)=H75</f>
        <v>0</v>
      </c>
      <c r="P75" s="29">
        <f>VLOOKUP(A75,Model!C$2:J$93,3,FALSE)</f>
        <v>0</v>
      </c>
      <c r="Q75" s="29">
        <f>VLOOKUP(A75,Model!C$2:J$93,8,FALSE)</f>
        <v>71</v>
      </c>
      <c r="R75" s="2" t="b">
        <f>VLOOKUP(C75,Table!A$2:F$98,1,FALSE)=C75</f>
        <v>1</v>
      </c>
      <c r="S75" s="2" t="str">
        <f>VLOOKUP(SUBSTITUTE(A75," ","_"),View!A$2:I$106,1,FALSE)</f>
        <v>LAST_UPDATE_DATETIME</v>
      </c>
      <c r="T75" s="3"/>
      <c r="U75" s="5"/>
      <c r="V75" s="5"/>
      <c r="W75" s="5"/>
      <c r="X75" s="5" t="s">
        <v>42</v>
      </c>
      <c r="Y75" s="19"/>
      <c r="Z75" s="5"/>
    </row>
    <row r="76" spans="1:26" ht="30" hidden="1">
      <c r="A76" s="21" t="s">
        <v>321</v>
      </c>
      <c r="B76" s="21"/>
      <c r="C76" s="5" t="s">
        <v>322</v>
      </c>
      <c r="D76" s="5" t="s">
        <v>315</v>
      </c>
      <c r="E76" s="5" t="s">
        <v>42</v>
      </c>
      <c r="F76" s="5" t="s">
        <v>316</v>
      </c>
      <c r="G76" s="5" t="s">
        <v>42</v>
      </c>
      <c r="H76" s="27" t="s">
        <v>323</v>
      </c>
      <c r="I76" s="5"/>
      <c r="J76" s="5"/>
      <c r="K76" s="5"/>
      <c r="L76" s="5"/>
      <c r="M76" s="2" t="b">
        <f>VLOOKUP(A76,Model!C$2:J$93,2,FALSE)=C76</f>
        <v>1</v>
      </c>
      <c r="N76" s="5"/>
      <c r="O76" s="2" t="b">
        <f>VLOOKUP(A76,Model!C$2:J$93,3,FALSE)=H76</f>
        <v>0</v>
      </c>
      <c r="P76" s="29" t="str">
        <f>VLOOKUP(A76,Model!C$2:J$93,3,FALSE)</f>
        <v>The name that represents the user or application who inserted, updated, or deleted each occurrence of Open Tax Lots Fact.</v>
      </c>
      <c r="Q76" s="29">
        <f>VLOOKUP(A76,Model!C$2:J$93,8,FALSE)</f>
        <v>72</v>
      </c>
      <c r="R76" s="2" t="b">
        <f>VLOOKUP(C76,Table!A$2:F$98,1,FALSE)=C76</f>
        <v>1</v>
      </c>
      <c r="S76" s="2" t="str">
        <f>VLOOKUP(SUBSTITUTE(A76," ","_"),View!A$2:I$106,1,FALSE)</f>
        <v>LAST_UPDATE_USER_NAME</v>
      </c>
      <c r="T76" s="3"/>
      <c r="U76" s="5"/>
      <c r="V76" s="5"/>
      <c r="W76" s="5"/>
      <c r="X76" s="5" t="s">
        <v>42</v>
      </c>
      <c r="Y76" s="19"/>
      <c r="Z76" s="5"/>
    </row>
    <row r="77" spans="1:26">
      <c r="A77" s="22"/>
    </row>
    <row r="78" spans="1:26">
      <c r="A78" s="22"/>
    </row>
    <row r="79" spans="1:26">
      <c r="A79" s="22"/>
    </row>
    <row r="80" spans="1:26">
      <c r="A80" s="22"/>
    </row>
    <row r="81" spans="1:1">
      <c r="A81" s="22"/>
    </row>
    <row r="82" spans="1:1">
      <c r="A82" s="22"/>
    </row>
    <row r="83" spans="1:1">
      <c r="A83" s="22"/>
    </row>
    <row r="84" spans="1:1">
      <c r="A84" s="22"/>
    </row>
    <row r="85" spans="1:1">
      <c r="A85" s="22"/>
    </row>
    <row r="86" spans="1:1">
      <c r="A86" s="22"/>
    </row>
    <row r="87" spans="1:1">
      <c r="A87" s="22"/>
    </row>
    <row r="88" spans="1:1">
      <c r="A88" s="22"/>
    </row>
    <row r="89" spans="1:1">
      <c r="A89" s="22"/>
    </row>
    <row r="90" spans="1:1">
      <c r="A90" s="22"/>
    </row>
    <row r="91" spans="1:1">
      <c r="A91" s="22"/>
    </row>
    <row r="92" spans="1:1">
      <c r="A92" s="22"/>
    </row>
    <row r="93" spans="1:1">
      <c r="A93" s="22"/>
    </row>
    <row r="94" spans="1:1">
      <c r="A94" s="22"/>
    </row>
    <row r="95" spans="1:1">
      <c r="A95" s="22"/>
    </row>
    <row r="96" spans="1:1">
      <c r="A96" s="22"/>
    </row>
    <row r="97" spans="1:1">
      <c r="A97" s="22"/>
    </row>
    <row r="98" spans="1:1">
      <c r="A98" s="22"/>
    </row>
    <row r="99" spans="1:1">
      <c r="A99" s="22"/>
    </row>
    <row r="100" spans="1:1">
      <c r="A100" s="22"/>
    </row>
    <row r="101" spans="1:1">
      <c r="A101" s="22"/>
    </row>
    <row r="102" spans="1:1">
      <c r="A102" s="22"/>
    </row>
    <row r="103" spans="1:1">
      <c r="A103" s="22"/>
    </row>
    <row r="104" spans="1:1">
      <c r="A104" s="22"/>
    </row>
    <row r="105" spans="1:1">
      <c r="A105" s="22"/>
    </row>
    <row r="106" spans="1:1">
      <c r="A106" s="22"/>
    </row>
    <row r="107" spans="1:1">
      <c r="A107" s="22"/>
    </row>
    <row r="108" spans="1:1">
      <c r="A108" s="22"/>
    </row>
    <row r="109" spans="1:1">
      <c r="A109" s="22"/>
    </row>
    <row r="110" spans="1:1">
      <c r="A110" s="22"/>
    </row>
    <row r="111" spans="1:1">
      <c r="A111" s="22"/>
    </row>
    <row r="112" spans="1:1">
      <c r="A112" s="22"/>
    </row>
    <row r="113" spans="1:1">
      <c r="A113" s="22"/>
    </row>
    <row r="114" spans="1:1">
      <c r="A114" s="22"/>
    </row>
    <row r="115" spans="1:1">
      <c r="A115" s="22"/>
    </row>
    <row r="116" spans="1:1">
      <c r="A116" s="22"/>
    </row>
    <row r="117" spans="1:1">
      <c r="A117" s="22"/>
    </row>
    <row r="118" spans="1:1">
      <c r="A118" s="22"/>
    </row>
    <row r="119" spans="1:1">
      <c r="A119" s="22"/>
    </row>
    <row r="120" spans="1:1">
      <c r="A120" s="22"/>
    </row>
    <row r="121" spans="1:1">
      <c r="A121" s="22"/>
    </row>
    <row r="122" spans="1:1">
      <c r="A122" s="22"/>
    </row>
    <row r="123" spans="1:1">
      <c r="A123" s="22"/>
    </row>
    <row r="124" spans="1:1">
      <c r="A124" s="22"/>
    </row>
    <row r="125" spans="1:1">
      <c r="A125" s="22"/>
    </row>
    <row r="126" spans="1:1">
      <c r="A126" s="22"/>
    </row>
    <row r="127" spans="1:1">
      <c r="A127" s="22"/>
    </row>
    <row r="128" spans="1:1">
      <c r="A128" s="22"/>
    </row>
    <row r="129" spans="1:1">
      <c r="A129" s="22"/>
    </row>
    <row r="130" spans="1:1">
      <c r="A130" s="22"/>
    </row>
    <row r="131" spans="1:1">
      <c r="A131" s="22"/>
    </row>
    <row r="132" spans="1:1">
      <c r="A132" s="22"/>
    </row>
    <row r="133" spans="1:1">
      <c r="A133" s="22"/>
    </row>
    <row r="134" spans="1:1">
      <c r="A134" s="22"/>
    </row>
    <row r="135" spans="1:1">
      <c r="A135" s="22"/>
    </row>
    <row r="136" spans="1:1">
      <c r="A136" s="22"/>
    </row>
    <row r="137" spans="1:1">
      <c r="A137" s="22"/>
    </row>
    <row r="138" spans="1:1">
      <c r="A138" s="22"/>
    </row>
    <row r="139" spans="1:1">
      <c r="A139" s="22"/>
    </row>
    <row r="140" spans="1:1">
      <c r="A140" s="22"/>
    </row>
  </sheetData>
  <autoFilter ref="A9:AA76" xr:uid="{9B3FCE14-916F-44E5-ADDA-A49F8526702E}">
    <filterColumn colId="2">
      <filters>
        <filter val="LOSS_NOT_ALWD_F"/>
        <filter val="OPN_TXN_EV_TP"/>
        <filter val="ORIG_EV_TP"/>
        <filter val="ORIG_TXN_TP_CD"/>
        <filter val="SRC_RCRD_TP_CD"/>
        <filter val="TXN_TP_CD"/>
      </filters>
    </filterColumn>
  </autoFilter>
  <mergeCells count="7">
    <mergeCell ref="Y71:Z71"/>
    <mergeCell ref="Y37:Z37"/>
    <mergeCell ref="F1:M4"/>
    <mergeCell ref="A8:H8"/>
    <mergeCell ref="X8:Y8"/>
    <mergeCell ref="N8:W8"/>
    <mergeCell ref="I5:J5"/>
  </mergeCells>
  <conditionalFormatting sqref="V1:V15 V17:V22 V24:V43 V45:V70 V72:V1048576">
    <cfRule type="duplicateValues" dxfId="2" priority="4"/>
  </conditionalFormatting>
  <conditionalFormatting sqref="V16">
    <cfRule type="duplicateValues" dxfId="1" priority="1"/>
  </conditionalFormatting>
  <conditionalFormatting sqref="V44">
    <cfRule type="duplicateValues" dxfId="0" priority="2"/>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F74A8-9620-416C-B444-84E90384D7A1}">
  <dimension ref="A1:I82"/>
  <sheetViews>
    <sheetView topLeftCell="A46" workbookViewId="0">
      <selection activeCell="I82" sqref="I82"/>
    </sheetView>
  </sheetViews>
  <sheetFormatPr defaultRowHeight="15"/>
  <cols>
    <col min="1" max="1" width="56.5703125" bestFit="1" customWidth="1"/>
    <col min="2" max="2" width="14.7109375" bestFit="1" customWidth="1"/>
  </cols>
  <sheetData>
    <row r="1" spans="1:9">
      <c r="A1" t="s">
        <v>324</v>
      </c>
      <c r="B1" t="s">
        <v>325</v>
      </c>
      <c r="C1" t="s">
        <v>326</v>
      </c>
      <c r="D1" t="s">
        <v>327</v>
      </c>
      <c r="E1" t="s">
        <v>328</v>
      </c>
      <c r="F1" t="s">
        <v>329</v>
      </c>
      <c r="G1" t="s">
        <v>330</v>
      </c>
      <c r="H1" t="s">
        <v>331</v>
      </c>
      <c r="I1" t="s">
        <v>332</v>
      </c>
    </row>
    <row r="2" spans="1:9">
      <c r="A2" t="s">
        <v>333</v>
      </c>
      <c r="B2" t="s">
        <v>101</v>
      </c>
      <c r="C2" t="s">
        <v>48</v>
      </c>
      <c r="E2">
        <v>15</v>
      </c>
      <c r="G2" t="s">
        <v>334</v>
      </c>
      <c r="H2" t="s">
        <v>334</v>
      </c>
      <c r="I2" t="s">
        <v>334</v>
      </c>
    </row>
    <row r="3" spans="1:9">
      <c r="A3" t="s">
        <v>335</v>
      </c>
      <c r="B3" t="s">
        <v>47</v>
      </c>
      <c r="C3" t="s">
        <v>48</v>
      </c>
      <c r="E3">
        <v>16</v>
      </c>
      <c r="G3" t="s">
        <v>334</v>
      </c>
      <c r="H3" t="s">
        <v>334</v>
      </c>
      <c r="I3" t="s">
        <v>334</v>
      </c>
    </row>
    <row r="4" spans="1:9">
      <c r="A4" t="s">
        <v>336</v>
      </c>
      <c r="B4" t="s">
        <v>71</v>
      </c>
      <c r="C4" t="s">
        <v>48</v>
      </c>
      <c r="E4">
        <v>6</v>
      </c>
      <c r="G4" t="s">
        <v>334</v>
      </c>
      <c r="H4" t="s">
        <v>334</v>
      </c>
      <c r="I4" t="s">
        <v>334</v>
      </c>
    </row>
    <row r="5" spans="1:9">
      <c r="A5" t="s">
        <v>337</v>
      </c>
      <c r="B5" t="s">
        <v>338</v>
      </c>
      <c r="C5" t="s">
        <v>42</v>
      </c>
      <c r="E5">
        <v>13</v>
      </c>
      <c r="G5" t="s">
        <v>334</v>
      </c>
      <c r="H5" t="s">
        <v>334</v>
      </c>
      <c r="I5" t="s">
        <v>334</v>
      </c>
    </row>
    <row r="6" spans="1:9">
      <c r="A6" t="s">
        <v>339</v>
      </c>
      <c r="B6" t="s">
        <v>338</v>
      </c>
      <c r="C6" t="s">
        <v>48</v>
      </c>
      <c r="E6">
        <v>67</v>
      </c>
      <c r="G6" t="s">
        <v>334</v>
      </c>
      <c r="H6" t="s">
        <v>334</v>
      </c>
      <c r="I6" t="s">
        <v>334</v>
      </c>
    </row>
    <row r="7" spans="1:9">
      <c r="A7" t="s">
        <v>340</v>
      </c>
      <c r="B7" t="s">
        <v>101</v>
      </c>
      <c r="C7" t="s">
        <v>48</v>
      </c>
      <c r="E7">
        <v>14</v>
      </c>
      <c r="G7" t="s">
        <v>334</v>
      </c>
      <c r="H7" t="s">
        <v>334</v>
      </c>
      <c r="I7" t="s">
        <v>334</v>
      </c>
    </row>
    <row r="8" spans="1:9">
      <c r="A8" t="s">
        <v>341</v>
      </c>
      <c r="B8" t="s">
        <v>91</v>
      </c>
      <c r="C8" t="s">
        <v>48</v>
      </c>
      <c r="E8">
        <v>17</v>
      </c>
      <c r="G8" t="s">
        <v>334</v>
      </c>
      <c r="H8" t="s">
        <v>334</v>
      </c>
      <c r="I8" t="s">
        <v>334</v>
      </c>
    </row>
    <row r="9" spans="1:9">
      <c r="A9" t="s">
        <v>342</v>
      </c>
      <c r="B9" t="s">
        <v>338</v>
      </c>
      <c r="C9" t="s">
        <v>42</v>
      </c>
      <c r="E9">
        <v>72</v>
      </c>
      <c r="G9" t="s">
        <v>334</v>
      </c>
      <c r="H9" t="s">
        <v>334</v>
      </c>
      <c r="I9" t="s">
        <v>334</v>
      </c>
    </row>
    <row r="10" spans="1:9">
      <c r="A10" t="s">
        <v>343</v>
      </c>
      <c r="B10" t="s">
        <v>111</v>
      </c>
      <c r="C10" t="s">
        <v>48</v>
      </c>
      <c r="E10">
        <v>18</v>
      </c>
      <c r="G10" t="s">
        <v>334</v>
      </c>
      <c r="H10" t="s">
        <v>334</v>
      </c>
      <c r="I10" t="s">
        <v>334</v>
      </c>
    </row>
    <row r="11" spans="1:9">
      <c r="A11" t="s">
        <v>344</v>
      </c>
      <c r="B11" t="s">
        <v>71</v>
      </c>
      <c r="C11" t="s">
        <v>48</v>
      </c>
      <c r="E11">
        <v>34</v>
      </c>
      <c r="G11" t="s">
        <v>334</v>
      </c>
      <c r="H11" t="s">
        <v>334</v>
      </c>
      <c r="I11" t="s">
        <v>334</v>
      </c>
    </row>
    <row r="12" spans="1:9">
      <c r="A12" t="s">
        <v>345</v>
      </c>
      <c r="B12" t="s">
        <v>59</v>
      </c>
      <c r="C12" t="s">
        <v>48</v>
      </c>
      <c r="E12">
        <v>3</v>
      </c>
      <c r="G12" t="s">
        <v>334</v>
      </c>
      <c r="H12" t="s">
        <v>334</v>
      </c>
      <c r="I12" t="s">
        <v>334</v>
      </c>
    </row>
    <row r="13" spans="1:9">
      <c r="A13" t="s">
        <v>346</v>
      </c>
      <c r="B13" t="s">
        <v>229</v>
      </c>
      <c r="C13" t="s">
        <v>48</v>
      </c>
      <c r="E13">
        <v>20</v>
      </c>
      <c r="G13" t="s">
        <v>334</v>
      </c>
      <c r="H13" t="s">
        <v>334</v>
      </c>
      <c r="I13" t="s">
        <v>334</v>
      </c>
    </row>
    <row r="14" spans="1:9">
      <c r="A14" t="s">
        <v>347</v>
      </c>
      <c r="B14" t="s">
        <v>59</v>
      </c>
      <c r="C14" t="s">
        <v>48</v>
      </c>
      <c r="E14">
        <v>5</v>
      </c>
      <c r="G14" t="s">
        <v>334</v>
      </c>
      <c r="H14" t="s">
        <v>334</v>
      </c>
      <c r="I14" t="s">
        <v>334</v>
      </c>
    </row>
    <row r="15" spans="1:9">
      <c r="A15" t="s">
        <v>348</v>
      </c>
      <c r="B15" t="s">
        <v>47</v>
      </c>
      <c r="C15" t="s">
        <v>48</v>
      </c>
      <c r="E15">
        <v>22</v>
      </c>
      <c r="G15" t="s">
        <v>334</v>
      </c>
      <c r="H15" t="s">
        <v>334</v>
      </c>
      <c r="I15" t="s">
        <v>334</v>
      </c>
    </row>
    <row r="16" spans="1:9">
      <c r="A16" t="s">
        <v>349</v>
      </c>
      <c r="B16" t="s">
        <v>47</v>
      </c>
      <c r="C16" t="s">
        <v>48</v>
      </c>
      <c r="E16">
        <v>23</v>
      </c>
      <c r="G16" t="s">
        <v>334</v>
      </c>
      <c r="H16" t="s">
        <v>334</v>
      </c>
      <c r="I16" t="s">
        <v>334</v>
      </c>
    </row>
    <row r="17" spans="1:9">
      <c r="A17" t="s">
        <v>350</v>
      </c>
      <c r="B17" t="s">
        <v>59</v>
      </c>
      <c r="C17" t="s">
        <v>48</v>
      </c>
      <c r="E17">
        <v>4</v>
      </c>
      <c r="G17" t="s">
        <v>334</v>
      </c>
      <c r="H17" t="s">
        <v>334</v>
      </c>
      <c r="I17" t="s">
        <v>334</v>
      </c>
    </row>
    <row r="18" spans="1:9">
      <c r="A18" t="s">
        <v>351</v>
      </c>
      <c r="B18" t="s">
        <v>111</v>
      </c>
      <c r="C18" t="s">
        <v>48</v>
      </c>
      <c r="E18">
        <v>37</v>
      </c>
      <c r="G18" t="s">
        <v>334</v>
      </c>
      <c r="H18" t="s">
        <v>334</v>
      </c>
      <c r="I18" t="s">
        <v>334</v>
      </c>
    </row>
    <row r="19" spans="1:9">
      <c r="A19" t="s">
        <v>352</v>
      </c>
      <c r="B19" t="s">
        <v>71</v>
      </c>
      <c r="C19" t="s">
        <v>48</v>
      </c>
      <c r="E19">
        <v>24</v>
      </c>
      <c r="G19" t="s">
        <v>334</v>
      </c>
      <c r="H19" t="s">
        <v>334</v>
      </c>
      <c r="I19" t="s">
        <v>334</v>
      </c>
    </row>
    <row r="20" spans="1:9">
      <c r="A20" t="s">
        <v>353</v>
      </c>
      <c r="B20" t="s">
        <v>71</v>
      </c>
      <c r="C20" t="s">
        <v>48</v>
      </c>
      <c r="E20">
        <v>79</v>
      </c>
      <c r="G20" t="s">
        <v>334</v>
      </c>
      <c r="H20" t="s">
        <v>334</v>
      </c>
      <c r="I20" t="s">
        <v>334</v>
      </c>
    </row>
    <row r="21" spans="1:9">
      <c r="A21" t="s">
        <v>354</v>
      </c>
      <c r="B21" t="s">
        <v>71</v>
      </c>
      <c r="C21" t="s">
        <v>48</v>
      </c>
      <c r="E21">
        <v>19</v>
      </c>
      <c r="G21" t="s">
        <v>334</v>
      </c>
      <c r="H21" t="s">
        <v>334</v>
      </c>
      <c r="I21" t="s">
        <v>334</v>
      </c>
    </row>
    <row r="22" spans="1:9">
      <c r="A22" t="s">
        <v>355</v>
      </c>
      <c r="B22" t="s">
        <v>311</v>
      </c>
      <c r="C22" t="s">
        <v>42</v>
      </c>
      <c r="E22">
        <v>63</v>
      </c>
      <c r="G22" t="s">
        <v>334</v>
      </c>
      <c r="H22" t="s">
        <v>334</v>
      </c>
      <c r="I22" t="s">
        <v>334</v>
      </c>
    </row>
    <row r="23" spans="1:9">
      <c r="A23" t="s">
        <v>356</v>
      </c>
      <c r="B23" t="s">
        <v>315</v>
      </c>
      <c r="C23" t="s">
        <v>42</v>
      </c>
      <c r="E23">
        <v>64</v>
      </c>
      <c r="G23" t="s">
        <v>334</v>
      </c>
      <c r="H23" t="s">
        <v>334</v>
      </c>
      <c r="I23" t="s">
        <v>334</v>
      </c>
    </row>
    <row r="24" spans="1:9">
      <c r="A24" t="s">
        <v>357</v>
      </c>
      <c r="B24" t="s">
        <v>118</v>
      </c>
      <c r="C24" t="s">
        <v>48</v>
      </c>
      <c r="E24">
        <v>21</v>
      </c>
      <c r="G24" t="s">
        <v>334</v>
      </c>
      <c r="H24" t="s">
        <v>334</v>
      </c>
      <c r="I24" t="s">
        <v>334</v>
      </c>
    </row>
    <row r="25" spans="1:9">
      <c r="A25" t="s">
        <v>358</v>
      </c>
      <c r="B25" t="s">
        <v>111</v>
      </c>
      <c r="C25" t="s">
        <v>48</v>
      </c>
      <c r="E25">
        <v>25</v>
      </c>
      <c r="G25" t="s">
        <v>334</v>
      </c>
      <c r="H25" t="s">
        <v>334</v>
      </c>
      <c r="I25" t="s">
        <v>334</v>
      </c>
    </row>
    <row r="26" spans="1:9">
      <c r="A26" t="s">
        <v>359</v>
      </c>
      <c r="B26" t="s">
        <v>71</v>
      </c>
      <c r="C26" t="s">
        <v>48</v>
      </c>
      <c r="E26">
        <v>80</v>
      </c>
      <c r="G26" t="s">
        <v>334</v>
      </c>
      <c r="H26" t="s">
        <v>334</v>
      </c>
      <c r="I26" t="s">
        <v>334</v>
      </c>
    </row>
    <row r="27" spans="1:9">
      <c r="A27" t="s">
        <v>360</v>
      </c>
      <c r="B27" t="s">
        <v>91</v>
      </c>
      <c r="C27" t="s">
        <v>48</v>
      </c>
      <c r="E27">
        <v>12</v>
      </c>
      <c r="G27" t="s">
        <v>334</v>
      </c>
      <c r="H27" t="s">
        <v>334</v>
      </c>
      <c r="I27" t="s">
        <v>334</v>
      </c>
    </row>
    <row r="28" spans="1:9">
      <c r="A28" t="s">
        <v>361</v>
      </c>
      <c r="B28" t="s">
        <v>338</v>
      </c>
      <c r="C28" t="s">
        <v>42</v>
      </c>
      <c r="E28">
        <v>70</v>
      </c>
      <c r="G28" t="s">
        <v>334</v>
      </c>
      <c r="H28" t="s">
        <v>334</v>
      </c>
      <c r="I28" t="s">
        <v>334</v>
      </c>
    </row>
    <row r="29" spans="1:9">
      <c r="A29" t="s">
        <v>362</v>
      </c>
      <c r="B29" t="s">
        <v>91</v>
      </c>
      <c r="C29" t="s">
        <v>42</v>
      </c>
      <c r="E29">
        <v>11</v>
      </c>
      <c r="G29" t="s">
        <v>334</v>
      </c>
      <c r="H29" t="s">
        <v>334</v>
      </c>
      <c r="I29" t="s">
        <v>334</v>
      </c>
    </row>
    <row r="30" spans="1:9">
      <c r="A30" t="s">
        <v>363</v>
      </c>
      <c r="B30" t="s">
        <v>338</v>
      </c>
      <c r="C30" t="s">
        <v>42</v>
      </c>
      <c r="E30">
        <v>71</v>
      </c>
      <c r="G30" t="s">
        <v>334</v>
      </c>
      <c r="H30" t="s">
        <v>334</v>
      </c>
      <c r="I30" t="s">
        <v>334</v>
      </c>
    </row>
    <row r="31" spans="1:9">
      <c r="A31" t="s">
        <v>364</v>
      </c>
      <c r="B31" t="s">
        <v>111</v>
      </c>
      <c r="C31" t="s">
        <v>48</v>
      </c>
      <c r="E31">
        <v>26</v>
      </c>
      <c r="G31" t="s">
        <v>334</v>
      </c>
      <c r="H31" t="s">
        <v>334</v>
      </c>
      <c r="I31" t="s">
        <v>334</v>
      </c>
    </row>
    <row r="32" spans="1:9">
      <c r="A32" t="s">
        <v>365</v>
      </c>
      <c r="B32" t="s">
        <v>111</v>
      </c>
      <c r="C32" t="s">
        <v>48</v>
      </c>
      <c r="E32">
        <v>27</v>
      </c>
      <c r="G32" t="s">
        <v>334</v>
      </c>
      <c r="H32" t="s">
        <v>334</v>
      </c>
      <c r="I32" t="s">
        <v>334</v>
      </c>
    </row>
    <row r="33" spans="1:9">
      <c r="A33" t="s">
        <v>366</v>
      </c>
      <c r="B33" t="s">
        <v>91</v>
      </c>
      <c r="C33" t="s">
        <v>48</v>
      </c>
      <c r="E33">
        <v>28</v>
      </c>
      <c r="G33" t="s">
        <v>334</v>
      </c>
      <c r="H33" t="s">
        <v>334</v>
      </c>
      <c r="I33" t="s">
        <v>334</v>
      </c>
    </row>
    <row r="34" spans="1:9">
      <c r="A34" t="s">
        <v>367</v>
      </c>
      <c r="B34" t="s">
        <v>338</v>
      </c>
      <c r="C34" t="s">
        <v>42</v>
      </c>
      <c r="E34">
        <v>73</v>
      </c>
      <c r="G34" t="s">
        <v>334</v>
      </c>
      <c r="H34" t="s">
        <v>334</v>
      </c>
      <c r="I34" t="s">
        <v>334</v>
      </c>
    </row>
    <row r="35" spans="1:9">
      <c r="A35" t="s">
        <v>368</v>
      </c>
      <c r="B35" t="s">
        <v>311</v>
      </c>
      <c r="C35" t="s">
        <v>42</v>
      </c>
      <c r="E35">
        <v>68</v>
      </c>
      <c r="G35" t="s">
        <v>334</v>
      </c>
      <c r="H35" t="s">
        <v>334</v>
      </c>
      <c r="I35" t="s">
        <v>334</v>
      </c>
    </row>
    <row r="36" spans="1:9">
      <c r="A36" t="s">
        <v>369</v>
      </c>
      <c r="B36" t="s">
        <v>315</v>
      </c>
      <c r="C36" t="s">
        <v>42</v>
      </c>
      <c r="E36">
        <v>69</v>
      </c>
      <c r="G36" t="s">
        <v>334</v>
      </c>
      <c r="H36" t="s">
        <v>334</v>
      </c>
      <c r="I36" t="s">
        <v>334</v>
      </c>
    </row>
    <row r="37" spans="1:9">
      <c r="A37" t="s">
        <v>370</v>
      </c>
      <c r="B37" t="s">
        <v>111</v>
      </c>
      <c r="C37" t="s">
        <v>48</v>
      </c>
      <c r="E37">
        <v>32</v>
      </c>
      <c r="G37" t="s">
        <v>334</v>
      </c>
      <c r="H37" t="s">
        <v>334</v>
      </c>
      <c r="I37" t="s">
        <v>334</v>
      </c>
    </row>
    <row r="38" spans="1:9">
      <c r="A38" t="s">
        <v>371</v>
      </c>
      <c r="B38" t="s">
        <v>71</v>
      </c>
      <c r="C38" t="s">
        <v>48</v>
      </c>
      <c r="E38">
        <v>30</v>
      </c>
      <c r="G38" t="s">
        <v>334</v>
      </c>
      <c r="H38" t="s">
        <v>334</v>
      </c>
      <c r="I38" t="s">
        <v>334</v>
      </c>
    </row>
    <row r="39" spans="1:9">
      <c r="A39" t="s">
        <v>372</v>
      </c>
      <c r="B39" t="s">
        <v>71</v>
      </c>
      <c r="C39" t="s">
        <v>48</v>
      </c>
      <c r="E39">
        <v>31</v>
      </c>
      <c r="G39" t="s">
        <v>334</v>
      </c>
      <c r="H39" t="s">
        <v>334</v>
      </c>
      <c r="I39" t="s">
        <v>334</v>
      </c>
    </row>
    <row r="40" spans="1:9">
      <c r="A40" t="s">
        <v>373</v>
      </c>
      <c r="B40" t="s">
        <v>71</v>
      </c>
      <c r="C40" t="s">
        <v>48</v>
      </c>
      <c r="E40">
        <v>33</v>
      </c>
      <c r="G40" t="s">
        <v>334</v>
      </c>
      <c r="H40" t="s">
        <v>334</v>
      </c>
      <c r="I40" t="s">
        <v>334</v>
      </c>
    </row>
    <row r="41" spans="1:9">
      <c r="A41" t="s">
        <v>374</v>
      </c>
      <c r="B41" t="s">
        <v>71</v>
      </c>
      <c r="C41" t="s">
        <v>48</v>
      </c>
      <c r="E41">
        <v>81</v>
      </c>
      <c r="G41" t="s">
        <v>334</v>
      </c>
      <c r="H41" t="s">
        <v>334</v>
      </c>
      <c r="I41" t="s">
        <v>334</v>
      </c>
    </row>
    <row r="42" spans="1:9">
      <c r="A42" t="s">
        <v>375</v>
      </c>
      <c r="B42" t="s">
        <v>111</v>
      </c>
      <c r="C42" t="s">
        <v>48</v>
      </c>
      <c r="E42">
        <v>35</v>
      </c>
      <c r="G42" t="s">
        <v>334</v>
      </c>
      <c r="H42" t="s">
        <v>334</v>
      </c>
      <c r="I42" t="s">
        <v>334</v>
      </c>
    </row>
    <row r="43" spans="1:9">
      <c r="A43" t="s">
        <v>376</v>
      </c>
      <c r="B43" t="s">
        <v>338</v>
      </c>
      <c r="C43" t="s">
        <v>42</v>
      </c>
      <c r="E43">
        <v>1</v>
      </c>
      <c r="G43" t="s">
        <v>334</v>
      </c>
      <c r="H43" t="s">
        <v>334</v>
      </c>
      <c r="I43" t="s">
        <v>334</v>
      </c>
    </row>
    <row r="44" spans="1:9">
      <c r="A44" t="s">
        <v>377</v>
      </c>
      <c r="B44" t="s">
        <v>47</v>
      </c>
      <c r="C44" t="s">
        <v>48</v>
      </c>
      <c r="E44">
        <v>36</v>
      </c>
      <c r="G44" t="s">
        <v>334</v>
      </c>
      <c r="H44" t="s">
        <v>334</v>
      </c>
      <c r="I44" t="s">
        <v>334</v>
      </c>
    </row>
    <row r="45" spans="1:9">
      <c r="A45" t="s">
        <v>378</v>
      </c>
      <c r="B45" t="s">
        <v>191</v>
      </c>
      <c r="C45" t="s">
        <v>48</v>
      </c>
      <c r="E45">
        <v>38</v>
      </c>
      <c r="G45" t="s">
        <v>334</v>
      </c>
      <c r="H45" t="s">
        <v>334</v>
      </c>
      <c r="I45" t="s">
        <v>334</v>
      </c>
    </row>
    <row r="46" spans="1:9">
      <c r="A46" t="s">
        <v>379</v>
      </c>
      <c r="B46" t="s">
        <v>111</v>
      </c>
      <c r="C46" t="s">
        <v>48</v>
      </c>
      <c r="E46">
        <v>39</v>
      </c>
      <c r="G46" t="s">
        <v>334</v>
      </c>
      <c r="H46" t="s">
        <v>334</v>
      </c>
      <c r="I46" t="s">
        <v>334</v>
      </c>
    </row>
    <row r="47" spans="1:9">
      <c r="A47" t="s">
        <v>380</v>
      </c>
      <c r="B47" t="s">
        <v>111</v>
      </c>
      <c r="C47" t="s">
        <v>48</v>
      </c>
      <c r="E47">
        <v>40</v>
      </c>
      <c r="G47" t="s">
        <v>334</v>
      </c>
      <c r="H47" t="s">
        <v>334</v>
      </c>
      <c r="I47" t="s">
        <v>334</v>
      </c>
    </row>
    <row r="48" spans="1:9">
      <c r="A48" t="s">
        <v>381</v>
      </c>
      <c r="B48" t="s">
        <v>191</v>
      </c>
      <c r="C48" t="s">
        <v>48</v>
      </c>
      <c r="E48">
        <v>41</v>
      </c>
      <c r="G48" t="s">
        <v>334</v>
      </c>
      <c r="H48" t="s">
        <v>334</v>
      </c>
      <c r="I48" t="s">
        <v>334</v>
      </c>
    </row>
    <row r="49" spans="1:9">
      <c r="A49" t="s">
        <v>382</v>
      </c>
      <c r="B49" t="s">
        <v>91</v>
      </c>
      <c r="C49" t="s">
        <v>48</v>
      </c>
      <c r="E49">
        <v>29</v>
      </c>
      <c r="G49" t="s">
        <v>334</v>
      </c>
      <c r="H49" t="s">
        <v>334</v>
      </c>
      <c r="I49" t="s">
        <v>334</v>
      </c>
    </row>
    <row r="50" spans="1:9">
      <c r="A50" t="s">
        <v>383</v>
      </c>
      <c r="B50" t="s">
        <v>338</v>
      </c>
      <c r="C50" t="s">
        <v>42</v>
      </c>
      <c r="E50">
        <v>76</v>
      </c>
      <c r="G50" t="s">
        <v>334</v>
      </c>
      <c r="H50" t="s">
        <v>334</v>
      </c>
      <c r="I50" t="s">
        <v>334</v>
      </c>
    </row>
    <row r="51" spans="1:9">
      <c r="A51" t="s">
        <v>384</v>
      </c>
      <c r="B51" t="s">
        <v>111</v>
      </c>
      <c r="C51" t="s">
        <v>48</v>
      </c>
      <c r="E51">
        <v>42</v>
      </c>
      <c r="G51" t="s">
        <v>334</v>
      </c>
      <c r="H51" t="s">
        <v>334</v>
      </c>
      <c r="I51" t="s">
        <v>334</v>
      </c>
    </row>
    <row r="52" spans="1:9">
      <c r="A52" t="s">
        <v>385</v>
      </c>
      <c r="B52" t="s">
        <v>111</v>
      </c>
      <c r="C52" t="s">
        <v>48</v>
      </c>
      <c r="E52">
        <v>43</v>
      </c>
      <c r="G52" t="s">
        <v>334</v>
      </c>
      <c r="H52" t="s">
        <v>334</v>
      </c>
      <c r="I52" t="s">
        <v>334</v>
      </c>
    </row>
    <row r="53" spans="1:9">
      <c r="A53" t="s">
        <v>386</v>
      </c>
      <c r="B53" t="s">
        <v>71</v>
      </c>
      <c r="C53" t="s">
        <v>48</v>
      </c>
      <c r="E53">
        <v>45</v>
      </c>
      <c r="G53" t="s">
        <v>334</v>
      </c>
      <c r="H53" t="s">
        <v>334</v>
      </c>
      <c r="I53" t="s">
        <v>334</v>
      </c>
    </row>
    <row r="54" spans="1:9">
      <c r="A54" t="s">
        <v>387</v>
      </c>
      <c r="B54" t="s">
        <v>91</v>
      </c>
      <c r="C54" t="s">
        <v>48</v>
      </c>
      <c r="E54">
        <v>46</v>
      </c>
      <c r="G54" t="s">
        <v>334</v>
      </c>
      <c r="H54" t="s">
        <v>334</v>
      </c>
      <c r="I54" t="s">
        <v>334</v>
      </c>
    </row>
    <row r="55" spans="1:9">
      <c r="A55" t="s">
        <v>388</v>
      </c>
      <c r="B55" t="s">
        <v>338</v>
      </c>
      <c r="C55" t="s">
        <v>42</v>
      </c>
      <c r="E55">
        <v>74</v>
      </c>
      <c r="G55" t="s">
        <v>334</v>
      </c>
      <c r="H55" t="s">
        <v>334</v>
      </c>
      <c r="I55" t="s">
        <v>334</v>
      </c>
    </row>
    <row r="56" spans="1:9">
      <c r="A56" t="s">
        <v>389</v>
      </c>
      <c r="B56" t="s">
        <v>91</v>
      </c>
      <c r="C56" t="s">
        <v>48</v>
      </c>
      <c r="E56">
        <v>47</v>
      </c>
      <c r="G56" t="s">
        <v>334</v>
      </c>
      <c r="H56" t="s">
        <v>334</v>
      </c>
      <c r="I56" t="s">
        <v>334</v>
      </c>
    </row>
    <row r="57" spans="1:9">
      <c r="A57" t="s">
        <v>390</v>
      </c>
      <c r="B57" t="s">
        <v>47</v>
      </c>
      <c r="C57" t="s">
        <v>48</v>
      </c>
      <c r="E57">
        <v>44</v>
      </c>
      <c r="G57" t="s">
        <v>334</v>
      </c>
      <c r="H57" t="s">
        <v>334</v>
      </c>
      <c r="I57" t="s">
        <v>334</v>
      </c>
    </row>
    <row r="58" spans="1:9">
      <c r="A58" t="s">
        <v>391</v>
      </c>
      <c r="B58" t="s">
        <v>47</v>
      </c>
      <c r="C58" t="s">
        <v>48</v>
      </c>
      <c r="E58">
        <v>2</v>
      </c>
      <c r="G58" t="s">
        <v>334</v>
      </c>
      <c r="H58" t="s">
        <v>334</v>
      </c>
      <c r="I58" t="s">
        <v>334</v>
      </c>
    </row>
    <row r="59" spans="1:9">
      <c r="A59" t="s">
        <v>392</v>
      </c>
      <c r="B59" t="s">
        <v>338</v>
      </c>
      <c r="C59" t="s">
        <v>42</v>
      </c>
      <c r="E59">
        <v>77</v>
      </c>
      <c r="G59" t="s">
        <v>334</v>
      </c>
      <c r="H59" t="s">
        <v>334</v>
      </c>
      <c r="I59" t="s">
        <v>334</v>
      </c>
    </row>
    <row r="60" spans="1:9">
      <c r="A60" t="s">
        <v>393</v>
      </c>
      <c r="B60" t="s">
        <v>338</v>
      </c>
      <c r="C60" t="s">
        <v>48</v>
      </c>
      <c r="E60">
        <v>65</v>
      </c>
      <c r="G60" t="s">
        <v>334</v>
      </c>
      <c r="H60" t="s">
        <v>334</v>
      </c>
      <c r="I60" t="s">
        <v>334</v>
      </c>
    </row>
    <row r="61" spans="1:9">
      <c r="A61" t="s">
        <v>394</v>
      </c>
      <c r="B61" t="s">
        <v>286</v>
      </c>
      <c r="C61" t="s">
        <v>48</v>
      </c>
      <c r="E61">
        <v>66</v>
      </c>
      <c r="G61" t="s">
        <v>334</v>
      </c>
      <c r="H61" t="s">
        <v>334</v>
      </c>
      <c r="I61" t="s">
        <v>334</v>
      </c>
    </row>
    <row r="62" spans="1:9">
      <c r="A62" t="s">
        <v>395</v>
      </c>
      <c r="B62" t="s">
        <v>111</v>
      </c>
      <c r="C62" t="s">
        <v>48</v>
      </c>
      <c r="E62">
        <v>57</v>
      </c>
      <c r="G62" t="s">
        <v>334</v>
      </c>
      <c r="H62" t="s">
        <v>334</v>
      </c>
      <c r="I62" t="s">
        <v>334</v>
      </c>
    </row>
    <row r="63" spans="1:9">
      <c r="A63" t="s">
        <v>396</v>
      </c>
      <c r="B63" t="s">
        <v>111</v>
      </c>
      <c r="C63" t="s">
        <v>48</v>
      </c>
      <c r="E63">
        <v>60</v>
      </c>
      <c r="G63" t="s">
        <v>334</v>
      </c>
      <c r="H63" t="s">
        <v>334</v>
      </c>
      <c r="I63" t="s">
        <v>334</v>
      </c>
    </row>
    <row r="64" spans="1:9">
      <c r="A64" t="s">
        <v>397</v>
      </c>
      <c r="B64" t="s">
        <v>111</v>
      </c>
      <c r="C64" t="s">
        <v>48</v>
      </c>
      <c r="E64">
        <v>56</v>
      </c>
      <c r="G64" t="s">
        <v>334</v>
      </c>
      <c r="H64" t="s">
        <v>334</v>
      </c>
      <c r="I64" t="s">
        <v>334</v>
      </c>
    </row>
    <row r="65" spans="1:9">
      <c r="A65" t="s">
        <v>398</v>
      </c>
      <c r="B65" t="s">
        <v>111</v>
      </c>
      <c r="C65" t="s">
        <v>48</v>
      </c>
      <c r="E65">
        <v>58</v>
      </c>
      <c r="G65" t="s">
        <v>334</v>
      </c>
      <c r="H65" t="s">
        <v>334</v>
      </c>
      <c r="I65" t="s">
        <v>334</v>
      </c>
    </row>
    <row r="66" spans="1:9">
      <c r="A66" t="s">
        <v>399</v>
      </c>
      <c r="B66" t="s">
        <v>111</v>
      </c>
      <c r="C66" t="s">
        <v>48</v>
      </c>
      <c r="E66">
        <v>59</v>
      </c>
      <c r="G66" t="s">
        <v>334</v>
      </c>
      <c r="H66" t="s">
        <v>334</v>
      </c>
      <c r="I66" t="s">
        <v>334</v>
      </c>
    </row>
    <row r="67" spans="1:9">
      <c r="A67" t="s">
        <v>400</v>
      </c>
      <c r="B67" t="s">
        <v>276</v>
      </c>
      <c r="C67" t="s">
        <v>48</v>
      </c>
      <c r="E67">
        <v>61</v>
      </c>
      <c r="G67" t="s">
        <v>334</v>
      </c>
      <c r="H67" t="s">
        <v>334</v>
      </c>
      <c r="I67" t="s">
        <v>334</v>
      </c>
    </row>
    <row r="68" spans="1:9">
      <c r="A68" t="s">
        <v>401</v>
      </c>
      <c r="B68" t="s">
        <v>111</v>
      </c>
      <c r="C68" t="s">
        <v>48</v>
      </c>
      <c r="E68">
        <v>62</v>
      </c>
      <c r="G68" t="s">
        <v>334</v>
      </c>
      <c r="H68" t="s">
        <v>334</v>
      </c>
      <c r="I68" t="s">
        <v>334</v>
      </c>
    </row>
    <row r="69" spans="1:9">
      <c r="A69" t="s">
        <v>402</v>
      </c>
      <c r="B69" t="s">
        <v>111</v>
      </c>
      <c r="C69" t="s">
        <v>48</v>
      </c>
      <c r="E69">
        <v>52</v>
      </c>
      <c r="G69" t="s">
        <v>334</v>
      </c>
      <c r="H69" t="s">
        <v>334</v>
      </c>
      <c r="I69" t="s">
        <v>334</v>
      </c>
    </row>
    <row r="70" spans="1:9">
      <c r="A70" t="s">
        <v>403</v>
      </c>
      <c r="B70" t="s">
        <v>77</v>
      </c>
      <c r="C70" t="s">
        <v>48</v>
      </c>
      <c r="E70">
        <v>7</v>
      </c>
      <c r="G70" t="s">
        <v>334</v>
      </c>
      <c r="H70" t="s">
        <v>334</v>
      </c>
      <c r="I70" t="s">
        <v>334</v>
      </c>
    </row>
    <row r="71" spans="1:9">
      <c r="A71" t="s">
        <v>404</v>
      </c>
      <c r="B71" t="s">
        <v>338</v>
      </c>
      <c r="C71" t="s">
        <v>48</v>
      </c>
      <c r="E71">
        <v>10</v>
      </c>
      <c r="G71" t="s">
        <v>334</v>
      </c>
      <c r="H71" t="s">
        <v>334</v>
      </c>
      <c r="I71" t="s">
        <v>334</v>
      </c>
    </row>
    <row r="72" spans="1:9">
      <c r="A72" t="s">
        <v>405</v>
      </c>
      <c r="B72" t="s">
        <v>47</v>
      </c>
      <c r="C72" t="s">
        <v>48</v>
      </c>
      <c r="E72">
        <v>8</v>
      </c>
      <c r="G72" t="s">
        <v>334</v>
      </c>
      <c r="H72" t="s">
        <v>334</v>
      </c>
      <c r="I72" t="s">
        <v>334</v>
      </c>
    </row>
    <row r="73" spans="1:9">
      <c r="A73" t="s">
        <v>406</v>
      </c>
      <c r="B73" t="s">
        <v>338</v>
      </c>
      <c r="C73" t="s">
        <v>48</v>
      </c>
      <c r="E73">
        <v>9</v>
      </c>
      <c r="G73" t="s">
        <v>334</v>
      </c>
      <c r="H73" t="s">
        <v>334</v>
      </c>
      <c r="I73" t="s">
        <v>334</v>
      </c>
    </row>
    <row r="74" spans="1:9">
      <c r="A74" t="s">
        <v>407</v>
      </c>
      <c r="B74" t="s">
        <v>101</v>
      </c>
      <c r="C74" t="s">
        <v>48</v>
      </c>
      <c r="E74">
        <v>78</v>
      </c>
      <c r="G74" t="s">
        <v>334</v>
      </c>
      <c r="H74" t="s">
        <v>334</v>
      </c>
      <c r="I74" t="s">
        <v>334</v>
      </c>
    </row>
    <row r="75" spans="1:9">
      <c r="A75" t="s">
        <v>408</v>
      </c>
      <c r="B75" t="s">
        <v>229</v>
      </c>
      <c r="C75" t="s">
        <v>48</v>
      </c>
      <c r="E75">
        <v>48</v>
      </c>
      <c r="G75" t="s">
        <v>334</v>
      </c>
      <c r="H75" t="s">
        <v>334</v>
      </c>
      <c r="I75" t="s">
        <v>334</v>
      </c>
    </row>
    <row r="76" spans="1:9">
      <c r="A76" t="s">
        <v>409</v>
      </c>
      <c r="B76" t="s">
        <v>91</v>
      </c>
      <c r="C76" t="s">
        <v>48</v>
      </c>
      <c r="E76">
        <v>49</v>
      </c>
      <c r="G76" t="s">
        <v>334</v>
      </c>
      <c r="H76" t="s">
        <v>334</v>
      </c>
      <c r="I76" t="s">
        <v>334</v>
      </c>
    </row>
    <row r="77" spans="1:9">
      <c r="A77" t="s">
        <v>410</v>
      </c>
      <c r="B77" t="s">
        <v>338</v>
      </c>
      <c r="C77" t="s">
        <v>42</v>
      </c>
      <c r="E77">
        <v>75</v>
      </c>
      <c r="G77" t="s">
        <v>334</v>
      </c>
      <c r="H77" t="s">
        <v>334</v>
      </c>
      <c r="I77" t="s">
        <v>334</v>
      </c>
    </row>
    <row r="78" spans="1:9">
      <c r="A78" t="s">
        <v>411</v>
      </c>
      <c r="B78" t="s">
        <v>47</v>
      </c>
      <c r="C78" t="s">
        <v>48</v>
      </c>
      <c r="E78">
        <v>50</v>
      </c>
      <c r="G78" t="s">
        <v>334</v>
      </c>
      <c r="H78" t="s">
        <v>334</v>
      </c>
      <c r="I78" t="s">
        <v>334</v>
      </c>
    </row>
    <row r="79" spans="1:9">
      <c r="A79" t="s">
        <v>412</v>
      </c>
      <c r="B79" t="s">
        <v>111</v>
      </c>
      <c r="C79" t="s">
        <v>48</v>
      </c>
      <c r="E79">
        <v>51</v>
      </c>
      <c r="G79" t="s">
        <v>334</v>
      </c>
      <c r="H79" t="s">
        <v>334</v>
      </c>
      <c r="I79" t="s">
        <v>334</v>
      </c>
    </row>
    <row r="80" spans="1:9">
      <c r="A80" t="s">
        <v>413</v>
      </c>
      <c r="B80" t="s">
        <v>71</v>
      </c>
      <c r="C80" t="s">
        <v>48</v>
      </c>
      <c r="E80">
        <v>53</v>
      </c>
      <c r="G80" t="s">
        <v>334</v>
      </c>
      <c r="H80" t="s">
        <v>334</v>
      </c>
      <c r="I80" t="s">
        <v>334</v>
      </c>
    </row>
    <row r="81" spans="1:9">
      <c r="A81" t="s">
        <v>414</v>
      </c>
      <c r="B81" t="s">
        <v>101</v>
      </c>
      <c r="C81" t="s">
        <v>48</v>
      </c>
      <c r="E81">
        <v>55</v>
      </c>
      <c r="G81" t="s">
        <v>334</v>
      </c>
      <c r="H81" t="s">
        <v>334</v>
      </c>
      <c r="I81" t="s">
        <v>334</v>
      </c>
    </row>
    <row r="82" spans="1:9">
      <c r="A82" t="s">
        <v>415</v>
      </c>
      <c r="B82" t="s">
        <v>252</v>
      </c>
      <c r="C82" t="s">
        <v>48</v>
      </c>
      <c r="E82">
        <v>54</v>
      </c>
      <c r="G82" t="s">
        <v>334</v>
      </c>
      <c r="H82" t="s">
        <v>334</v>
      </c>
      <c r="I82" t="s">
        <v>334</v>
      </c>
    </row>
  </sheetData>
  <autoFilter ref="A1:I82" xr:uid="{81FF74A8-9620-416C-B444-84E90384D7A1}"/>
  <sortState xmlns:xlrd2="http://schemas.microsoft.com/office/spreadsheetml/2017/richdata2" ref="A2:I82">
    <sortCondition ref="A2:A8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C41D2-CF4E-4E69-8F6D-FB28100AEA2A}">
  <dimension ref="A1"/>
  <sheetViews>
    <sheetView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C5F5E-09A9-4D45-98B6-473C23F1D634}">
  <dimension ref="A1"/>
  <sheetViews>
    <sheetView workbookViewId="0">
      <selection activeCell="E36" sqref="E36"/>
    </sheetView>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E1A7-E8E1-4FDE-8B50-E2C1F82C3CE3}">
  <dimension ref="A1:A5"/>
  <sheetViews>
    <sheetView workbookViewId="0">
      <selection activeCell="A6" sqref="A6"/>
    </sheetView>
  </sheetViews>
  <sheetFormatPr defaultRowHeight="15"/>
  <cols>
    <col min="1" max="1" width="39.7109375" bestFit="1" customWidth="1"/>
  </cols>
  <sheetData>
    <row r="1" spans="1:1">
      <c r="A1" s="15" t="s">
        <v>416</v>
      </c>
    </row>
    <row r="2" spans="1:1">
      <c r="A2" s="15" t="s">
        <v>5</v>
      </c>
    </row>
    <row r="3" spans="1:1">
      <c r="A3" s="15" t="s">
        <v>417</v>
      </c>
    </row>
    <row r="4" spans="1:1">
      <c r="A4" s="15" t="s">
        <v>418</v>
      </c>
    </row>
    <row r="5" spans="1:1">
      <c r="A5" s="16" t="s">
        <v>419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240B8-EF78-4766-9060-74B30AC34ED0}">
  <dimension ref="A1:J104"/>
  <sheetViews>
    <sheetView topLeftCell="B12" workbookViewId="0">
      <selection activeCell="J13" sqref="J13"/>
    </sheetView>
  </sheetViews>
  <sheetFormatPr defaultRowHeight="15"/>
  <cols>
    <col min="1" max="1" width="42.7109375" customWidth="1"/>
    <col min="3" max="3" width="58.140625" customWidth="1"/>
    <col min="4" max="4" width="34.42578125" customWidth="1"/>
    <col min="5" max="5" width="79.85546875" customWidth="1"/>
  </cols>
  <sheetData>
    <row r="1" spans="1:10" ht="15.75">
      <c r="A1" s="36" t="s">
        <v>420</v>
      </c>
      <c r="B1" s="36" t="s">
        <v>421</v>
      </c>
      <c r="C1" s="36" t="s">
        <v>422</v>
      </c>
      <c r="D1" s="36" t="s">
        <v>423</v>
      </c>
      <c r="E1" s="36" t="s">
        <v>424</v>
      </c>
      <c r="F1" s="36" t="s">
        <v>425</v>
      </c>
      <c r="G1" s="36" t="s">
        <v>426</v>
      </c>
      <c r="H1" s="36" t="s">
        <v>427</v>
      </c>
    </row>
    <row r="2" spans="1:10" ht="153.75">
      <c r="A2" s="26" t="s">
        <v>428</v>
      </c>
      <c r="B2" s="26" t="s">
        <v>429</v>
      </c>
      <c r="C2" s="26" t="s">
        <v>430</v>
      </c>
      <c r="D2" s="26" t="s">
        <v>431</v>
      </c>
      <c r="E2" s="35" t="s">
        <v>432</v>
      </c>
      <c r="F2" s="26" t="s">
        <v>433</v>
      </c>
      <c r="G2" s="26" t="s">
        <v>101</v>
      </c>
      <c r="H2" s="26" t="s">
        <v>160</v>
      </c>
      <c r="I2" s="26"/>
      <c r="J2" s="26">
        <v>17</v>
      </c>
    </row>
    <row r="3" spans="1:10" ht="153.75">
      <c r="A3" s="26" t="s">
        <v>428</v>
      </c>
      <c r="B3" s="26" t="s">
        <v>429</v>
      </c>
      <c r="C3" s="26" t="s">
        <v>434</v>
      </c>
      <c r="D3" s="26" t="s">
        <v>435</v>
      </c>
      <c r="E3" s="35" t="s">
        <v>436</v>
      </c>
      <c r="F3" s="26" t="s">
        <v>437</v>
      </c>
      <c r="G3" s="26" t="s">
        <v>47</v>
      </c>
      <c r="H3" s="26" t="s">
        <v>160</v>
      </c>
      <c r="I3" s="26"/>
      <c r="J3" s="26">
        <v>18</v>
      </c>
    </row>
    <row r="4" spans="1:10" ht="141">
      <c r="A4" s="26" t="s">
        <v>428</v>
      </c>
      <c r="B4" s="26" t="s">
        <v>429</v>
      </c>
      <c r="C4" s="26" t="s">
        <v>69</v>
      </c>
      <c r="D4" s="26" t="s">
        <v>70</v>
      </c>
      <c r="E4" s="35" t="s">
        <v>438</v>
      </c>
      <c r="F4" s="26" t="s">
        <v>439</v>
      </c>
      <c r="G4" s="26" t="s">
        <v>71</v>
      </c>
      <c r="H4" s="26" t="s">
        <v>160</v>
      </c>
      <c r="I4" s="26"/>
      <c r="J4" s="26">
        <v>8</v>
      </c>
    </row>
    <row r="5" spans="1:10" ht="64.5">
      <c r="A5" s="26" t="s">
        <v>428</v>
      </c>
      <c r="B5" s="26" t="s">
        <v>429</v>
      </c>
      <c r="C5" s="26" t="s">
        <v>440</v>
      </c>
      <c r="D5" s="26" t="s">
        <v>441</v>
      </c>
      <c r="E5" s="35" t="s">
        <v>442</v>
      </c>
      <c r="F5" s="26" t="s">
        <v>443</v>
      </c>
      <c r="G5" s="26" t="s">
        <v>41</v>
      </c>
      <c r="H5" s="26" t="s">
        <v>160</v>
      </c>
      <c r="I5" s="26"/>
      <c r="J5" s="26">
        <v>15</v>
      </c>
    </row>
    <row r="6" spans="1:10" ht="64.5">
      <c r="A6" s="26" t="s">
        <v>428</v>
      </c>
      <c r="B6" s="26" t="s">
        <v>429</v>
      </c>
      <c r="C6" s="26" t="s">
        <v>290</v>
      </c>
      <c r="D6" s="26" t="s">
        <v>291</v>
      </c>
      <c r="E6" s="35" t="s">
        <v>444</v>
      </c>
      <c r="F6" s="26" t="s">
        <v>443</v>
      </c>
      <c r="G6" s="26" t="s">
        <v>41</v>
      </c>
      <c r="H6" s="26" t="s">
        <v>160</v>
      </c>
      <c r="I6" s="26"/>
      <c r="J6" s="26">
        <v>68</v>
      </c>
    </row>
    <row r="7" spans="1:10" ht="77.25">
      <c r="A7" s="26" t="s">
        <v>428</v>
      </c>
      <c r="B7" s="26" t="s">
        <v>429</v>
      </c>
      <c r="C7" s="26" t="s">
        <v>99</v>
      </c>
      <c r="D7" s="26" t="s">
        <v>100</v>
      </c>
      <c r="E7" s="35" t="s">
        <v>445</v>
      </c>
      <c r="F7" s="26" t="s">
        <v>433</v>
      </c>
      <c r="G7" s="26" t="s">
        <v>101</v>
      </c>
      <c r="H7" s="26" t="s">
        <v>160</v>
      </c>
      <c r="I7" s="26"/>
      <c r="J7" s="26">
        <v>16</v>
      </c>
    </row>
    <row r="8" spans="1:10" ht="64.5">
      <c r="A8" s="26" t="s">
        <v>428</v>
      </c>
      <c r="B8" s="26" t="s">
        <v>429</v>
      </c>
      <c r="C8" s="26" t="s">
        <v>106</v>
      </c>
      <c r="D8" s="26" t="s">
        <v>107</v>
      </c>
      <c r="E8" s="35" t="s">
        <v>446</v>
      </c>
      <c r="F8" s="26" t="s">
        <v>447</v>
      </c>
      <c r="G8" s="26" t="s">
        <v>91</v>
      </c>
      <c r="H8" s="26" t="s">
        <v>160</v>
      </c>
      <c r="I8" s="26"/>
      <c r="J8" s="26">
        <v>19</v>
      </c>
    </row>
    <row r="9" spans="1:10">
      <c r="A9" s="26" t="s">
        <v>428</v>
      </c>
      <c r="B9" s="26" t="s">
        <v>429</v>
      </c>
      <c r="C9" s="26" t="s">
        <v>448</v>
      </c>
      <c r="D9" s="26" t="s">
        <v>449</v>
      </c>
      <c r="E9" s="26" t="s">
        <v>450</v>
      </c>
      <c r="F9" s="26" t="s">
        <v>443</v>
      </c>
      <c r="G9" s="26" t="s">
        <v>41</v>
      </c>
      <c r="H9" s="26" t="s">
        <v>451</v>
      </c>
      <c r="I9" s="26"/>
      <c r="J9" s="26">
        <v>80</v>
      </c>
    </row>
    <row r="10" spans="1:10" ht="77.25">
      <c r="A10" s="26" t="s">
        <v>428</v>
      </c>
      <c r="B10" s="26" t="s">
        <v>429</v>
      </c>
      <c r="C10" s="26" t="s">
        <v>109</v>
      </c>
      <c r="D10" s="26" t="s">
        <v>110</v>
      </c>
      <c r="E10" s="35" t="s">
        <v>452</v>
      </c>
      <c r="F10" s="26" t="s">
        <v>453</v>
      </c>
      <c r="G10" s="26" t="s">
        <v>111</v>
      </c>
      <c r="H10" s="26" t="s">
        <v>160</v>
      </c>
      <c r="I10" s="26"/>
      <c r="J10" s="26">
        <v>20</v>
      </c>
    </row>
    <row r="11" spans="1:10" ht="115.5">
      <c r="A11" s="26" t="s">
        <v>428</v>
      </c>
      <c r="B11" s="26" t="s">
        <v>429</v>
      </c>
      <c r="C11" s="26" t="s">
        <v>454</v>
      </c>
      <c r="D11" s="26" t="s">
        <v>170</v>
      </c>
      <c r="E11" s="35" t="s">
        <v>455</v>
      </c>
      <c r="F11" s="26" t="s">
        <v>456</v>
      </c>
      <c r="G11" s="26" t="s">
        <v>71</v>
      </c>
      <c r="H11" s="26" t="s">
        <v>160</v>
      </c>
      <c r="I11" s="26"/>
      <c r="J11" s="26">
        <v>36</v>
      </c>
    </row>
    <row r="12" spans="1:10" ht="64.5">
      <c r="A12" s="26" t="s">
        <v>428</v>
      </c>
      <c r="B12" s="26" t="s">
        <v>429</v>
      </c>
      <c r="C12" s="26" t="s">
        <v>457</v>
      </c>
      <c r="D12" s="26" t="s">
        <v>458</v>
      </c>
      <c r="E12" s="35" t="s">
        <v>459</v>
      </c>
      <c r="F12" s="26" t="s">
        <v>443</v>
      </c>
      <c r="G12" s="26" t="s">
        <v>41</v>
      </c>
      <c r="H12" s="26" t="s">
        <v>451</v>
      </c>
      <c r="I12" s="26"/>
      <c r="J12" s="26">
        <v>7</v>
      </c>
    </row>
    <row r="13" spans="1:10" ht="39">
      <c r="A13" s="26" t="s">
        <v>428</v>
      </c>
      <c r="B13" s="26" t="s">
        <v>429</v>
      </c>
      <c r="C13" s="26" t="s">
        <v>54</v>
      </c>
      <c r="D13" s="26" t="s">
        <v>55</v>
      </c>
      <c r="E13" s="35" t="s">
        <v>460</v>
      </c>
      <c r="F13" s="26" t="s">
        <v>443</v>
      </c>
      <c r="G13" s="26" t="s">
        <v>461</v>
      </c>
      <c r="H13" s="26" t="s">
        <v>160</v>
      </c>
      <c r="I13" s="26"/>
      <c r="J13" s="26">
        <v>3</v>
      </c>
    </row>
    <row r="14" spans="1:10">
      <c r="A14" s="26" t="s">
        <v>428</v>
      </c>
      <c r="B14" s="26" t="s">
        <v>429</v>
      </c>
      <c r="C14" s="26" t="s">
        <v>462</v>
      </c>
      <c r="D14" s="26" t="s">
        <v>463</v>
      </c>
      <c r="E14" s="26" t="s">
        <v>464</v>
      </c>
      <c r="F14" s="26" t="s">
        <v>453</v>
      </c>
      <c r="G14" s="26" t="s">
        <v>111</v>
      </c>
      <c r="H14" s="26" t="s">
        <v>160</v>
      </c>
      <c r="I14" s="26"/>
      <c r="J14" s="26">
        <v>79</v>
      </c>
    </row>
    <row r="15" spans="1:10" ht="64.5">
      <c r="A15" s="26" t="s">
        <v>428</v>
      </c>
      <c r="B15" s="26" t="s">
        <v>429</v>
      </c>
      <c r="C15" s="26" t="s">
        <v>465</v>
      </c>
      <c r="D15" s="26" t="s">
        <v>466</v>
      </c>
      <c r="E15" s="35" t="s">
        <v>467</v>
      </c>
      <c r="F15" s="26"/>
      <c r="G15" s="26" t="s">
        <v>229</v>
      </c>
      <c r="H15" s="26" t="s">
        <v>160</v>
      </c>
      <c r="I15" s="26"/>
      <c r="J15" s="26">
        <v>22</v>
      </c>
    </row>
    <row r="16" spans="1:10" ht="64.5">
      <c r="A16" s="26" t="s">
        <v>428</v>
      </c>
      <c r="B16" s="26" t="s">
        <v>429</v>
      </c>
      <c r="C16" s="26" t="s">
        <v>66</v>
      </c>
      <c r="D16" s="26" t="s">
        <v>67</v>
      </c>
      <c r="E16" s="35" t="s">
        <v>468</v>
      </c>
      <c r="F16" s="26" t="s">
        <v>443</v>
      </c>
      <c r="G16" s="26" t="s">
        <v>461</v>
      </c>
      <c r="H16" s="26" t="s">
        <v>160</v>
      </c>
      <c r="I16" s="26"/>
      <c r="J16" s="26">
        <v>5</v>
      </c>
    </row>
    <row r="17" spans="1:10" ht="39">
      <c r="A17" s="26" t="s">
        <v>428</v>
      </c>
      <c r="B17" s="26" t="s">
        <v>429</v>
      </c>
      <c r="C17" s="26" t="s">
        <v>122</v>
      </c>
      <c r="D17" s="26" t="s">
        <v>123</v>
      </c>
      <c r="E17" s="35" t="s">
        <v>469</v>
      </c>
      <c r="F17" s="26" t="s">
        <v>437</v>
      </c>
      <c r="G17" s="26" t="s">
        <v>47</v>
      </c>
      <c r="H17" s="26" t="s">
        <v>160</v>
      </c>
      <c r="I17" s="26"/>
      <c r="J17" s="26">
        <v>24</v>
      </c>
    </row>
    <row r="18" spans="1:10" ht="51.75">
      <c r="A18" s="26" t="s">
        <v>428</v>
      </c>
      <c r="B18" s="26" t="s">
        <v>429</v>
      </c>
      <c r="C18" s="26" t="s">
        <v>126</v>
      </c>
      <c r="D18" s="26" t="s">
        <v>127</v>
      </c>
      <c r="E18" s="35" t="s">
        <v>470</v>
      </c>
      <c r="F18" s="26" t="s">
        <v>437</v>
      </c>
      <c r="G18" s="26" t="s">
        <v>47</v>
      </c>
      <c r="H18" s="26" t="s">
        <v>160</v>
      </c>
      <c r="I18" s="26"/>
      <c r="J18" s="26">
        <v>25</v>
      </c>
    </row>
    <row r="19" spans="1:10" ht="77.25">
      <c r="A19" s="26" t="s">
        <v>428</v>
      </c>
      <c r="B19" s="26" t="s">
        <v>429</v>
      </c>
      <c r="C19" s="26" t="s">
        <v>60</v>
      </c>
      <c r="D19" s="26" t="s">
        <v>61</v>
      </c>
      <c r="E19" s="35" t="s">
        <v>471</v>
      </c>
      <c r="F19" s="26" t="s">
        <v>443</v>
      </c>
      <c r="G19" s="26" t="s">
        <v>461</v>
      </c>
      <c r="H19" s="26" t="s">
        <v>160</v>
      </c>
      <c r="I19" s="26"/>
      <c r="J19" s="26">
        <v>4</v>
      </c>
    </row>
    <row r="20" spans="1:10" ht="243">
      <c r="A20" s="26" t="s">
        <v>428</v>
      </c>
      <c r="B20" s="26" t="s">
        <v>429</v>
      </c>
      <c r="C20" s="26" t="s">
        <v>184</v>
      </c>
      <c r="D20" s="26" t="s">
        <v>185</v>
      </c>
      <c r="E20" s="35" t="s">
        <v>472</v>
      </c>
      <c r="F20" s="26" t="s">
        <v>453</v>
      </c>
      <c r="G20" s="26" t="s">
        <v>111</v>
      </c>
      <c r="H20" s="26" t="s">
        <v>160</v>
      </c>
      <c r="I20" s="26"/>
      <c r="J20" s="26">
        <v>39</v>
      </c>
    </row>
    <row r="21" spans="1:10" ht="153.75">
      <c r="A21" s="26" t="s">
        <v>428</v>
      </c>
      <c r="B21" s="26" t="s">
        <v>429</v>
      </c>
      <c r="C21" s="26" t="s">
        <v>130</v>
      </c>
      <c r="D21" s="26" t="s">
        <v>131</v>
      </c>
      <c r="E21" s="35" t="s">
        <v>473</v>
      </c>
      <c r="F21" s="26" t="s">
        <v>456</v>
      </c>
      <c r="G21" s="26" t="s">
        <v>71</v>
      </c>
      <c r="H21" s="26" t="s">
        <v>160</v>
      </c>
      <c r="I21" s="26"/>
      <c r="J21" s="26">
        <v>26</v>
      </c>
    </row>
    <row r="22" spans="1:10" ht="90">
      <c r="A22" s="26" t="s">
        <v>428</v>
      </c>
      <c r="B22" s="26" t="s">
        <v>429</v>
      </c>
      <c r="C22" s="26" t="s">
        <v>298</v>
      </c>
      <c r="D22" s="26" t="s">
        <v>299</v>
      </c>
      <c r="E22" s="35" t="s">
        <v>474</v>
      </c>
      <c r="F22" s="26" t="s">
        <v>456</v>
      </c>
      <c r="G22" s="26" t="s">
        <v>71</v>
      </c>
      <c r="H22" s="26" t="s">
        <v>160</v>
      </c>
      <c r="I22" s="26"/>
      <c r="J22" s="26">
        <v>75</v>
      </c>
    </row>
    <row r="23" spans="1:10" ht="51.75">
      <c r="A23" s="26" t="s">
        <v>428</v>
      </c>
      <c r="B23" s="26" t="s">
        <v>429</v>
      </c>
      <c r="C23" s="26" t="s">
        <v>475</v>
      </c>
      <c r="D23" s="26" t="s">
        <v>476</v>
      </c>
      <c r="E23" s="35" t="s">
        <v>477</v>
      </c>
      <c r="F23" s="26" t="s">
        <v>456</v>
      </c>
      <c r="G23" s="26" t="s">
        <v>71</v>
      </c>
      <c r="H23" s="26" t="s">
        <v>160</v>
      </c>
      <c r="I23" s="26"/>
      <c r="J23" s="26">
        <v>21</v>
      </c>
    </row>
    <row r="24" spans="1:10">
      <c r="A24" s="26" t="s">
        <v>428</v>
      </c>
      <c r="B24" s="26" t="s">
        <v>429</v>
      </c>
      <c r="C24" s="26" t="s">
        <v>309</v>
      </c>
      <c r="D24" s="26" t="s">
        <v>310</v>
      </c>
      <c r="E24" s="26"/>
      <c r="F24" s="26" t="s">
        <v>447</v>
      </c>
      <c r="G24" s="26" t="s">
        <v>311</v>
      </c>
      <c r="H24" s="26" t="s">
        <v>160</v>
      </c>
      <c r="I24" s="26"/>
      <c r="J24" s="26">
        <v>69</v>
      </c>
    </row>
    <row r="25" spans="1:10">
      <c r="A25" s="26" t="s">
        <v>428</v>
      </c>
      <c r="B25" s="26" t="s">
        <v>429</v>
      </c>
      <c r="C25" s="26" t="s">
        <v>313</v>
      </c>
      <c r="D25" s="26" t="s">
        <v>314</v>
      </c>
      <c r="E25" s="26" t="s">
        <v>478</v>
      </c>
      <c r="F25" s="26" t="s">
        <v>313</v>
      </c>
      <c r="G25" s="26" t="s">
        <v>479</v>
      </c>
      <c r="H25" s="26" t="s">
        <v>451</v>
      </c>
      <c r="I25" s="26"/>
      <c r="J25" s="26">
        <v>70</v>
      </c>
    </row>
    <row r="26" spans="1:10" ht="51.75">
      <c r="A26" s="26" t="s">
        <v>428</v>
      </c>
      <c r="B26" s="26" t="s">
        <v>429</v>
      </c>
      <c r="C26" s="26" t="s">
        <v>116</v>
      </c>
      <c r="D26" s="26" t="s">
        <v>117</v>
      </c>
      <c r="E26" s="35" t="s">
        <v>480</v>
      </c>
      <c r="F26" s="26"/>
      <c r="G26" s="26" t="s">
        <v>118</v>
      </c>
      <c r="H26" s="26" t="s">
        <v>160</v>
      </c>
      <c r="I26" s="26"/>
      <c r="J26" s="26">
        <v>23</v>
      </c>
    </row>
    <row r="27" spans="1:10" ht="51.75">
      <c r="A27" s="26" t="s">
        <v>428</v>
      </c>
      <c r="B27" s="26" t="s">
        <v>429</v>
      </c>
      <c r="C27" s="26" t="s">
        <v>481</v>
      </c>
      <c r="D27" s="26" t="s">
        <v>135</v>
      </c>
      <c r="E27" s="35" t="s">
        <v>482</v>
      </c>
      <c r="F27" s="26" t="s">
        <v>453</v>
      </c>
      <c r="G27" s="26" t="s">
        <v>111</v>
      </c>
      <c r="H27" s="26" t="s">
        <v>160</v>
      </c>
      <c r="I27" s="26"/>
      <c r="J27" s="26">
        <v>27</v>
      </c>
    </row>
    <row r="28" spans="1:10" ht="281.25">
      <c r="A28" s="26" t="s">
        <v>428</v>
      </c>
      <c r="B28" s="26" t="s">
        <v>429</v>
      </c>
      <c r="C28" s="26" t="s">
        <v>483</v>
      </c>
      <c r="D28" s="26" t="s">
        <v>484</v>
      </c>
      <c r="E28" s="35" t="s">
        <v>485</v>
      </c>
      <c r="F28" s="26" t="s">
        <v>456</v>
      </c>
      <c r="G28" s="26" t="s">
        <v>71</v>
      </c>
      <c r="H28" s="26" t="s">
        <v>160</v>
      </c>
      <c r="I28" s="26"/>
      <c r="J28" s="26">
        <v>76</v>
      </c>
    </row>
    <row r="29" spans="1:10" ht="51.75">
      <c r="A29" s="26" t="s">
        <v>428</v>
      </c>
      <c r="B29" s="26" t="s">
        <v>429</v>
      </c>
      <c r="C29" s="26" t="s">
        <v>95</v>
      </c>
      <c r="D29" s="26" t="s">
        <v>486</v>
      </c>
      <c r="E29" s="35" t="s">
        <v>487</v>
      </c>
      <c r="F29" s="26" t="s">
        <v>95</v>
      </c>
      <c r="G29" s="26" t="s">
        <v>91</v>
      </c>
      <c r="H29" s="26" t="s">
        <v>451</v>
      </c>
      <c r="I29" s="26"/>
      <c r="J29" s="26">
        <v>14</v>
      </c>
    </row>
    <row r="30" spans="1:10">
      <c r="A30" s="26" t="s">
        <v>428</v>
      </c>
      <c r="B30" s="26" t="s">
        <v>429</v>
      </c>
      <c r="C30" s="26" t="s">
        <v>488</v>
      </c>
      <c r="D30" s="26" t="s">
        <v>489</v>
      </c>
      <c r="E30" s="26" t="s">
        <v>450</v>
      </c>
      <c r="F30" s="26" t="s">
        <v>443</v>
      </c>
      <c r="G30" s="26" t="s">
        <v>41</v>
      </c>
      <c r="H30" s="26" t="s">
        <v>451</v>
      </c>
      <c r="I30" s="26"/>
      <c r="J30" s="26">
        <v>78</v>
      </c>
    </row>
    <row r="31" spans="1:10" ht="39">
      <c r="A31" s="26" t="s">
        <v>428</v>
      </c>
      <c r="B31" s="26" t="s">
        <v>429</v>
      </c>
      <c r="C31" s="26" t="s">
        <v>89</v>
      </c>
      <c r="D31" s="26" t="s">
        <v>90</v>
      </c>
      <c r="E31" s="35" t="s">
        <v>490</v>
      </c>
      <c r="F31" s="26"/>
      <c r="G31" s="26" t="s">
        <v>91</v>
      </c>
      <c r="H31" s="26" t="s">
        <v>160</v>
      </c>
      <c r="I31" s="26"/>
      <c r="J31" s="26">
        <v>13</v>
      </c>
    </row>
    <row r="32" spans="1:10">
      <c r="A32" s="26" t="s">
        <v>428</v>
      </c>
      <c r="B32" s="26" t="s">
        <v>429</v>
      </c>
      <c r="C32" s="26" t="s">
        <v>491</v>
      </c>
      <c r="D32" s="26" t="s">
        <v>492</v>
      </c>
      <c r="E32" s="26" t="s">
        <v>450</v>
      </c>
      <c r="F32" s="26" t="s">
        <v>443</v>
      </c>
      <c r="G32" s="26" t="s">
        <v>41</v>
      </c>
      <c r="H32" s="26" t="s">
        <v>451</v>
      </c>
      <c r="I32" s="26"/>
      <c r="J32" s="26">
        <v>81</v>
      </c>
    </row>
    <row r="33" spans="1:10" ht="102.75">
      <c r="A33" s="26" t="s">
        <v>428</v>
      </c>
      <c r="B33" s="26" t="s">
        <v>429</v>
      </c>
      <c r="C33" s="26" t="s">
        <v>138</v>
      </c>
      <c r="D33" s="26" t="s">
        <v>139</v>
      </c>
      <c r="E33" s="35" t="s">
        <v>493</v>
      </c>
      <c r="F33" s="26" t="s">
        <v>453</v>
      </c>
      <c r="G33" s="26" t="s">
        <v>111</v>
      </c>
      <c r="H33" s="26" t="s">
        <v>160</v>
      </c>
      <c r="I33" s="26"/>
      <c r="J33" s="26">
        <v>28</v>
      </c>
    </row>
    <row r="34" spans="1:10" ht="166.5">
      <c r="A34" s="26" t="s">
        <v>428</v>
      </c>
      <c r="B34" s="26" t="s">
        <v>429</v>
      </c>
      <c r="C34" s="26" t="s">
        <v>142</v>
      </c>
      <c r="D34" s="26" t="s">
        <v>143</v>
      </c>
      <c r="E34" s="35" t="s">
        <v>494</v>
      </c>
      <c r="F34" s="26" t="s">
        <v>453</v>
      </c>
      <c r="G34" s="26" t="s">
        <v>111</v>
      </c>
      <c r="H34" s="26" t="s">
        <v>160</v>
      </c>
      <c r="I34" s="26"/>
      <c r="J34" s="26">
        <v>29</v>
      </c>
    </row>
    <row r="35" spans="1:10" ht="90">
      <c r="A35" s="26" t="s">
        <v>428</v>
      </c>
      <c r="B35" s="26" t="s">
        <v>429</v>
      </c>
      <c r="C35" s="26" t="s">
        <v>147</v>
      </c>
      <c r="D35" s="26" t="s">
        <v>148</v>
      </c>
      <c r="E35" s="35" t="s">
        <v>495</v>
      </c>
      <c r="F35" s="26"/>
      <c r="G35" s="26" t="s">
        <v>91</v>
      </c>
      <c r="H35" s="26" t="s">
        <v>160</v>
      </c>
      <c r="I35" s="26"/>
      <c r="J35" s="26">
        <v>30</v>
      </c>
    </row>
    <row r="36" spans="1:10">
      <c r="A36" s="26" t="s">
        <v>428</v>
      </c>
      <c r="B36" s="26" t="s">
        <v>429</v>
      </c>
      <c r="C36" s="26" t="s">
        <v>496</v>
      </c>
      <c r="D36" s="26" t="s">
        <v>497</v>
      </c>
      <c r="E36" s="26" t="s">
        <v>450</v>
      </c>
      <c r="F36" s="26" t="s">
        <v>443</v>
      </c>
      <c r="G36" s="26" t="s">
        <v>41</v>
      </c>
      <c r="H36" s="26" t="s">
        <v>451</v>
      </c>
      <c r="I36" s="26"/>
      <c r="J36" s="26">
        <v>82</v>
      </c>
    </row>
    <row r="37" spans="1:10" ht="64.5">
      <c r="A37" s="26" t="s">
        <v>428</v>
      </c>
      <c r="B37" s="26" t="s">
        <v>429</v>
      </c>
      <c r="C37" s="26" t="s">
        <v>498</v>
      </c>
      <c r="D37" s="26" t="s">
        <v>499</v>
      </c>
      <c r="E37" s="35" t="s">
        <v>500</v>
      </c>
      <c r="F37" s="26" t="s">
        <v>443</v>
      </c>
      <c r="G37" s="26" t="s">
        <v>41</v>
      </c>
      <c r="H37" s="26" t="s">
        <v>451</v>
      </c>
      <c r="I37" s="26"/>
      <c r="J37" s="26">
        <v>6</v>
      </c>
    </row>
    <row r="38" spans="1:10">
      <c r="A38" s="26" t="s">
        <v>428</v>
      </c>
      <c r="B38" s="26" t="s">
        <v>429</v>
      </c>
      <c r="C38" s="26" t="s">
        <v>318</v>
      </c>
      <c r="D38" s="26" t="s">
        <v>319</v>
      </c>
      <c r="E38" s="26"/>
      <c r="F38" s="26"/>
      <c r="G38" s="26" t="s">
        <v>311</v>
      </c>
      <c r="H38" s="26" t="s">
        <v>160</v>
      </c>
      <c r="I38" s="26"/>
      <c r="J38" s="26">
        <v>71</v>
      </c>
    </row>
    <row r="39" spans="1:10">
      <c r="A39" s="26" t="s">
        <v>428</v>
      </c>
      <c r="B39" s="26" t="s">
        <v>429</v>
      </c>
      <c r="C39" s="26" t="s">
        <v>321</v>
      </c>
      <c r="D39" s="26" t="s">
        <v>322</v>
      </c>
      <c r="E39" s="26" t="s">
        <v>501</v>
      </c>
      <c r="F39" s="26" t="s">
        <v>321</v>
      </c>
      <c r="G39" s="26" t="s">
        <v>479</v>
      </c>
      <c r="H39" s="26" t="s">
        <v>451</v>
      </c>
      <c r="I39" s="26"/>
      <c r="J39" s="26">
        <v>72</v>
      </c>
    </row>
    <row r="40" spans="1:10" ht="64.5">
      <c r="A40" s="26" t="s">
        <v>428</v>
      </c>
      <c r="B40" s="26" t="s">
        <v>429</v>
      </c>
      <c r="C40" s="26" t="s">
        <v>502</v>
      </c>
      <c r="D40" s="26" t="s">
        <v>162</v>
      </c>
      <c r="E40" s="35" t="s">
        <v>503</v>
      </c>
      <c r="F40" s="26" t="s">
        <v>453</v>
      </c>
      <c r="G40" s="26" t="s">
        <v>111</v>
      </c>
      <c r="H40" s="26" t="s">
        <v>160</v>
      </c>
      <c r="I40" s="26" t="s">
        <v>504</v>
      </c>
      <c r="J40" s="26">
        <v>34</v>
      </c>
    </row>
    <row r="41" spans="1:10" ht="179.25">
      <c r="A41" s="26" t="s">
        <v>428</v>
      </c>
      <c r="B41" s="26" t="s">
        <v>429</v>
      </c>
      <c r="C41" s="26" t="s">
        <v>153</v>
      </c>
      <c r="D41" s="26" t="s">
        <v>154</v>
      </c>
      <c r="E41" s="35" t="s">
        <v>505</v>
      </c>
      <c r="F41" s="26" t="s">
        <v>439</v>
      </c>
      <c r="G41" s="26" t="s">
        <v>71</v>
      </c>
      <c r="H41" s="26" t="s">
        <v>160</v>
      </c>
      <c r="I41" s="26"/>
      <c r="J41" s="26">
        <v>32</v>
      </c>
    </row>
    <row r="42" spans="1:10" ht="204.75">
      <c r="A42" s="26" t="s">
        <v>428</v>
      </c>
      <c r="B42" s="26" t="s">
        <v>429</v>
      </c>
      <c r="C42" s="26" t="s">
        <v>157</v>
      </c>
      <c r="D42" s="26" t="s">
        <v>158</v>
      </c>
      <c r="E42" s="35" t="s">
        <v>506</v>
      </c>
      <c r="F42" s="26" t="s">
        <v>456</v>
      </c>
      <c r="G42" s="26" t="s">
        <v>71</v>
      </c>
      <c r="H42" s="26" t="s">
        <v>160</v>
      </c>
      <c r="I42" s="26"/>
      <c r="J42" s="26">
        <v>33</v>
      </c>
    </row>
    <row r="43" spans="1:10" ht="64.5">
      <c r="A43" s="26" t="s">
        <v>428</v>
      </c>
      <c r="B43" s="26" t="s">
        <v>429</v>
      </c>
      <c r="C43" s="26" t="s">
        <v>164</v>
      </c>
      <c r="D43" s="26" t="s">
        <v>165</v>
      </c>
      <c r="E43" s="35" t="s">
        <v>507</v>
      </c>
      <c r="F43" s="26" t="s">
        <v>456</v>
      </c>
      <c r="G43" s="26" t="s">
        <v>71</v>
      </c>
      <c r="H43" s="26" t="s">
        <v>160</v>
      </c>
      <c r="I43" s="26"/>
      <c r="J43" s="26">
        <v>35</v>
      </c>
    </row>
    <row r="44" spans="1:10" ht="166.5">
      <c r="A44" s="26" t="s">
        <v>428</v>
      </c>
      <c r="B44" s="26" t="s">
        <v>429</v>
      </c>
      <c r="C44" s="26" t="s">
        <v>508</v>
      </c>
      <c r="D44" s="26" t="s">
        <v>303</v>
      </c>
      <c r="E44" s="35" t="s">
        <v>509</v>
      </c>
      <c r="F44" s="26" t="s">
        <v>456</v>
      </c>
      <c r="G44" s="26" t="s">
        <v>71</v>
      </c>
      <c r="H44" s="26" t="s">
        <v>160</v>
      </c>
      <c r="I44" s="26" t="s">
        <v>504</v>
      </c>
      <c r="J44" s="26">
        <v>77</v>
      </c>
    </row>
    <row r="45" spans="1:10" ht="141">
      <c r="A45" s="26" t="s">
        <v>428</v>
      </c>
      <c r="B45" s="26" t="s">
        <v>429</v>
      </c>
      <c r="C45" s="26" t="s">
        <v>173</v>
      </c>
      <c r="D45" s="26" t="s">
        <v>174</v>
      </c>
      <c r="E45" s="35" t="s">
        <v>510</v>
      </c>
      <c r="F45" s="26" t="s">
        <v>453</v>
      </c>
      <c r="G45" s="26" t="s">
        <v>111</v>
      </c>
      <c r="H45" s="26" t="s">
        <v>160</v>
      </c>
      <c r="I45" s="26"/>
      <c r="J45" s="26">
        <v>37</v>
      </c>
    </row>
    <row r="46" spans="1:10">
      <c r="A46" s="26" t="s">
        <v>428</v>
      </c>
      <c r="B46" s="26" t="s">
        <v>429</v>
      </c>
      <c r="C46" s="26" t="s">
        <v>511</v>
      </c>
      <c r="D46" s="26" t="s">
        <v>512</v>
      </c>
      <c r="E46" s="26" t="s">
        <v>513</v>
      </c>
      <c r="F46" s="26" t="s">
        <v>443</v>
      </c>
      <c r="G46" s="26" t="s">
        <v>41</v>
      </c>
      <c r="H46" s="26" t="s">
        <v>451</v>
      </c>
      <c r="I46" s="26"/>
      <c r="J46" s="26">
        <v>1</v>
      </c>
    </row>
    <row r="47" spans="1:10" ht="255.75">
      <c r="A47" s="26" t="s">
        <v>428</v>
      </c>
      <c r="B47" s="26" t="s">
        <v>429</v>
      </c>
      <c r="C47" s="26" t="s">
        <v>178</v>
      </c>
      <c r="D47" s="26" t="s">
        <v>179</v>
      </c>
      <c r="E47" s="35" t="s">
        <v>514</v>
      </c>
      <c r="F47" s="26" t="s">
        <v>437</v>
      </c>
      <c r="G47" s="26" t="s">
        <v>47</v>
      </c>
      <c r="H47" s="26" t="s">
        <v>160</v>
      </c>
      <c r="I47" s="26"/>
      <c r="J47" s="26">
        <v>38</v>
      </c>
    </row>
    <row r="48" spans="1:10">
      <c r="A48" s="26" t="s">
        <v>428</v>
      </c>
      <c r="B48" s="26" t="s">
        <v>429</v>
      </c>
      <c r="C48" s="26" t="s">
        <v>515</v>
      </c>
      <c r="D48" s="26" t="s">
        <v>516</v>
      </c>
      <c r="E48" s="26" t="s">
        <v>517</v>
      </c>
      <c r="F48" s="26" t="s">
        <v>447</v>
      </c>
      <c r="G48" s="26" t="s">
        <v>91</v>
      </c>
      <c r="H48" s="26" t="s">
        <v>160</v>
      </c>
      <c r="I48" s="26"/>
      <c r="J48" s="26">
        <v>86</v>
      </c>
    </row>
    <row r="49" spans="1:10" ht="153.75">
      <c r="A49" s="26" t="s">
        <v>428</v>
      </c>
      <c r="B49" s="26" t="s">
        <v>429</v>
      </c>
      <c r="C49" s="26" t="s">
        <v>189</v>
      </c>
      <c r="D49" s="26" t="s">
        <v>190</v>
      </c>
      <c r="E49" s="35" t="s">
        <v>518</v>
      </c>
      <c r="F49" s="26"/>
      <c r="G49" s="26" t="s">
        <v>191</v>
      </c>
      <c r="H49" s="26" t="s">
        <v>160</v>
      </c>
      <c r="I49" s="26"/>
      <c r="J49" s="26">
        <v>40</v>
      </c>
    </row>
    <row r="50" spans="1:10" ht="153.75">
      <c r="A50" s="26" t="s">
        <v>428</v>
      </c>
      <c r="B50" s="26" t="s">
        <v>429</v>
      </c>
      <c r="C50" s="26" t="s">
        <v>195</v>
      </c>
      <c r="D50" s="26" t="s">
        <v>196</v>
      </c>
      <c r="E50" s="35" t="s">
        <v>519</v>
      </c>
      <c r="F50" s="26" t="s">
        <v>453</v>
      </c>
      <c r="G50" s="26" t="s">
        <v>111</v>
      </c>
      <c r="H50" s="26" t="s">
        <v>160</v>
      </c>
      <c r="I50" s="26"/>
      <c r="J50" s="26">
        <v>41</v>
      </c>
    </row>
    <row r="51" spans="1:10" ht="102.75">
      <c r="A51" s="26" t="s">
        <v>428</v>
      </c>
      <c r="B51" s="26" t="s">
        <v>429</v>
      </c>
      <c r="C51" s="26" t="s">
        <v>200</v>
      </c>
      <c r="D51" s="26" t="s">
        <v>201</v>
      </c>
      <c r="E51" s="35" t="s">
        <v>520</v>
      </c>
      <c r="F51" s="26" t="s">
        <v>453</v>
      </c>
      <c r="G51" s="26" t="s">
        <v>111</v>
      </c>
      <c r="H51" s="26" t="s">
        <v>160</v>
      </c>
      <c r="I51" s="26"/>
      <c r="J51" s="26">
        <v>42</v>
      </c>
    </row>
    <row r="52" spans="1:10" ht="345">
      <c r="A52" s="26" t="s">
        <v>428</v>
      </c>
      <c r="B52" s="26" t="s">
        <v>429</v>
      </c>
      <c r="C52" s="26" t="s">
        <v>205</v>
      </c>
      <c r="D52" s="26" t="s">
        <v>206</v>
      </c>
      <c r="E52" s="35" t="s">
        <v>521</v>
      </c>
      <c r="F52" s="26"/>
      <c r="G52" s="26" t="s">
        <v>191</v>
      </c>
      <c r="H52" s="26" t="s">
        <v>160</v>
      </c>
      <c r="I52" s="26"/>
      <c r="J52" s="26">
        <v>43</v>
      </c>
    </row>
    <row r="53" spans="1:10" ht="204.75">
      <c r="A53" s="26" t="s">
        <v>428</v>
      </c>
      <c r="B53" s="26" t="s">
        <v>429</v>
      </c>
      <c r="C53" s="26" t="s">
        <v>150</v>
      </c>
      <c r="D53" s="26" t="s">
        <v>151</v>
      </c>
      <c r="E53" s="35" t="s">
        <v>522</v>
      </c>
      <c r="F53" s="26"/>
      <c r="G53" s="26" t="s">
        <v>91</v>
      </c>
      <c r="H53" s="26" t="s">
        <v>160</v>
      </c>
      <c r="I53" s="26"/>
      <c r="J53" s="26">
        <v>31</v>
      </c>
    </row>
    <row r="54" spans="1:10">
      <c r="A54" s="26" t="s">
        <v>428</v>
      </c>
      <c r="B54" s="26" t="s">
        <v>429</v>
      </c>
      <c r="C54" s="26" t="s">
        <v>523</v>
      </c>
      <c r="D54" s="26" t="s">
        <v>524</v>
      </c>
      <c r="E54" s="26" t="s">
        <v>450</v>
      </c>
      <c r="F54" s="26" t="s">
        <v>443</v>
      </c>
      <c r="G54" s="26" t="s">
        <v>41</v>
      </c>
      <c r="H54" s="26" t="s">
        <v>451</v>
      </c>
      <c r="I54" s="26"/>
      <c r="J54" s="26">
        <v>85</v>
      </c>
    </row>
    <row r="55" spans="1:10" ht="64.5">
      <c r="A55" s="26" t="s">
        <v>428</v>
      </c>
      <c r="B55" s="26" t="s">
        <v>429</v>
      </c>
      <c r="C55" s="26" t="s">
        <v>208</v>
      </c>
      <c r="D55" s="26" t="s">
        <v>209</v>
      </c>
      <c r="E55" s="35" t="s">
        <v>525</v>
      </c>
      <c r="F55" s="26" t="s">
        <v>453</v>
      </c>
      <c r="G55" s="26" t="s">
        <v>111</v>
      </c>
      <c r="H55" s="26" t="s">
        <v>160</v>
      </c>
      <c r="I55" s="26"/>
      <c r="J55" s="26">
        <v>44</v>
      </c>
    </row>
    <row r="56" spans="1:10" ht="179.25">
      <c r="A56" s="26" t="s">
        <v>428</v>
      </c>
      <c r="B56" s="26" t="s">
        <v>429</v>
      </c>
      <c r="C56" s="26" t="s">
        <v>211</v>
      </c>
      <c r="D56" s="26" t="s">
        <v>212</v>
      </c>
      <c r="E56" s="35" t="s">
        <v>526</v>
      </c>
      <c r="F56" s="26" t="s">
        <v>453</v>
      </c>
      <c r="G56" s="26" t="s">
        <v>111</v>
      </c>
      <c r="H56" s="26" t="s">
        <v>160</v>
      </c>
      <c r="I56" s="26"/>
      <c r="J56" s="26">
        <v>45</v>
      </c>
    </row>
    <row r="57" spans="1:10" ht="166.5">
      <c r="A57" s="26" t="s">
        <v>428</v>
      </c>
      <c r="B57" s="26" t="s">
        <v>429</v>
      </c>
      <c r="C57" s="26" t="s">
        <v>220</v>
      </c>
      <c r="D57" s="26" t="s">
        <v>221</v>
      </c>
      <c r="E57" s="35" t="s">
        <v>527</v>
      </c>
      <c r="F57" s="26"/>
      <c r="G57" s="26" t="s">
        <v>71</v>
      </c>
      <c r="H57" s="26" t="s">
        <v>160</v>
      </c>
      <c r="I57" s="26"/>
      <c r="J57" s="26">
        <v>47</v>
      </c>
    </row>
    <row r="58" spans="1:10">
      <c r="A58" s="26" t="s">
        <v>428</v>
      </c>
      <c r="B58" s="26" t="s">
        <v>429</v>
      </c>
      <c r="C58" s="26" t="s">
        <v>306</v>
      </c>
      <c r="D58" s="26" t="s">
        <v>307</v>
      </c>
      <c r="E58" s="26"/>
      <c r="F58" s="26" t="s">
        <v>443</v>
      </c>
      <c r="G58" s="26" t="s">
        <v>41</v>
      </c>
      <c r="H58" s="26" t="s">
        <v>160</v>
      </c>
      <c r="I58" s="26"/>
      <c r="J58" s="26">
        <v>65</v>
      </c>
    </row>
    <row r="59" spans="1:10" ht="77.25">
      <c r="A59" s="26" t="s">
        <v>428</v>
      </c>
      <c r="B59" s="26" t="s">
        <v>429</v>
      </c>
      <c r="C59" s="26" t="s">
        <v>224</v>
      </c>
      <c r="D59" s="26" t="s">
        <v>225</v>
      </c>
      <c r="E59" s="35" t="s">
        <v>528</v>
      </c>
      <c r="F59" s="26" t="s">
        <v>447</v>
      </c>
      <c r="G59" s="26" t="s">
        <v>91</v>
      </c>
      <c r="H59" s="26" t="s">
        <v>160</v>
      </c>
      <c r="I59" s="26"/>
      <c r="J59" s="26">
        <v>48</v>
      </c>
    </row>
    <row r="60" spans="1:10">
      <c r="A60" s="26" t="s">
        <v>428</v>
      </c>
      <c r="B60" s="26" t="s">
        <v>429</v>
      </c>
      <c r="C60" s="26" t="s">
        <v>529</v>
      </c>
      <c r="D60" s="26" t="s">
        <v>530</v>
      </c>
      <c r="E60" s="26" t="s">
        <v>450</v>
      </c>
      <c r="F60" s="26" t="s">
        <v>443</v>
      </c>
      <c r="G60" s="26" t="s">
        <v>41</v>
      </c>
      <c r="H60" s="26" t="s">
        <v>451</v>
      </c>
      <c r="I60" s="26"/>
      <c r="J60" s="26">
        <v>84</v>
      </c>
    </row>
    <row r="61" spans="1:10" ht="115.5">
      <c r="A61" s="26" t="s">
        <v>428</v>
      </c>
      <c r="B61" s="26" t="s">
        <v>429</v>
      </c>
      <c r="C61" s="26" t="s">
        <v>531</v>
      </c>
      <c r="D61" s="26" t="s">
        <v>532</v>
      </c>
      <c r="E61" s="35" t="s">
        <v>533</v>
      </c>
      <c r="F61" s="26" t="s">
        <v>447</v>
      </c>
      <c r="G61" s="26" t="s">
        <v>91</v>
      </c>
      <c r="H61" s="26" t="s">
        <v>160</v>
      </c>
      <c r="I61" s="26"/>
      <c r="J61" s="26">
        <v>49</v>
      </c>
    </row>
    <row r="62" spans="1:10" ht="243">
      <c r="A62" s="26" t="s">
        <v>428</v>
      </c>
      <c r="B62" s="26" t="s">
        <v>429</v>
      </c>
      <c r="C62" s="26" t="s">
        <v>215</v>
      </c>
      <c r="D62" s="26" t="s">
        <v>216</v>
      </c>
      <c r="E62" s="35" t="s">
        <v>534</v>
      </c>
      <c r="F62" s="26" t="s">
        <v>437</v>
      </c>
      <c r="G62" s="26" t="s">
        <v>47</v>
      </c>
      <c r="H62" s="26" t="s">
        <v>160</v>
      </c>
      <c r="I62" s="26"/>
      <c r="J62" s="26">
        <v>46</v>
      </c>
    </row>
    <row r="63" spans="1:10" ht="39">
      <c r="A63" s="26" t="s">
        <v>428</v>
      </c>
      <c r="B63" s="26" t="s">
        <v>429</v>
      </c>
      <c r="C63" s="26" t="s">
        <v>45</v>
      </c>
      <c r="D63" s="26" t="s">
        <v>46</v>
      </c>
      <c r="E63" s="35" t="s">
        <v>535</v>
      </c>
      <c r="F63" s="26" t="s">
        <v>437</v>
      </c>
      <c r="G63" s="26" t="s">
        <v>47</v>
      </c>
      <c r="H63" s="26" t="s">
        <v>160</v>
      </c>
      <c r="I63" s="26"/>
      <c r="J63" s="26">
        <v>2</v>
      </c>
    </row>
    <row r="64" spans="1:10">
      <c r="A64" s="26" t="s">
        <v>428</v>
      </c>
      <c r="B64" s="26" t="s">
        <v>429</v>
      </c>
      <c r="C64" s="26" t="s">
        <v>536</v>
      </c>
      <c r="D64" s="26" t="s">
        <v>537</v>
      </c>
      <c r="E64" s="26" t="s">
        <v>538</v>
      </c>
      <c r="F64" s="26" t="s">
        <v>443</v>
      </c>
      <c r="G64" s="26" t="s">
        <v>41</v>
      </c>
      <c r="H64" s="26" t="s">
        <v>451</v>
      </c>
      <c r="I64" s="26"/>
      <c r="J64" s="26">
        <v>73</v>
      </c>
    </row>
    <row r="65" spans="1:10" ht="39">
      <c r="A65" s="26" t="s">
        <v>428</v>
      </c>
      <c r="B65" s="26" t="s">
        <v>429</v>
      </c>
      <c r="C65" s="26" t="s">
        <v>281</v>
      </c>
      <c r="D65" s="26" t="s">
        <v>282</v>
      </c>
      <c r="E65" s="35" t="s">
        <v>535</v>
      </c>
      <c r="F65" s="26" t="s">
        <v>443</v>
      </c>
      <c r="G65" s="26" t="s">
        <v>41</v>
      </c>
      <c r="H65" s="26" t="s">
        <v>160</v>
      </c>
      <c r="I65" s="26"/>
      <c r="J65" s="26">
        <v>66</v>
      </c>
    </row>
    <row r="66" spans="1:10" ht="77.25">
      <c r="A66" s="26" t="s">
        <v>428</v>
      </c>
      <c r="B66" s="26" t="s">
        <v>429</v>
      </c>
      <c r="C66" s="26" t="s">
        <v>284</v>
      </c>
      <c r="D66" s="26" t="s">
        <v>285</v>
      </c>
      <c r="E66" s="35" t="s">
        <v>539</v>
      </c>
      <c r="F66" s="26"/>
      <c r="G66" s="26" t="s">
        <v>286</v>
      </c>
      <c r="H66" s="26" t="s">
        <v>160</v>
      </c>
      <c r="I66" s="26"/>
      <c r="J66" s="26">
        <v>67</v>
      </c>
    </row>
    <row r="67" spans="1:10" ht="77.25">
      <c r="A67" s="26" t="s">
        <v>428</v>
      </c>
      <c r="B67" s="26" t="s">
        <v>429</v>
      </c>
      <c r="C67" s="26" t="s">
        <v>540</v>
      </c>
      <c r="D67" s="26" t="s">
        <v>264</v>
      </c>
      <c r="E67" s="35" t="s">
        <v>452</v>
      </c>
      <c r="F67" s="26" t="s">
        <v>453</v>
      </c>
      <c r="G67" s="26" t="s">
        <v>111</v>
      </c>
      <c r="H67" s="26" t="s">
        <v>160</v>
      </c>
      <c r="I67" s="26"/>
      <c r="J67" s="26">
        <v>59</v>
      </c>
    </row>
    <row r="68" spans="1:10" ht="243">
      <c r="A68" s="26" t="s">
        <v>428</v>
      </c>
      <c r="B68" s="26" t="s">
        <v>429</v>
      </c>
      <c r="C68" s="26" t="s">
        <v>271</v>
      </c>
      <c r="D68" s="26" t="s">
        <v>272</v>
      </c>
      <c r="E68" s="35" t="s">
        <v>472</v>
      </c>
      <c r="F68" s="26" t="s">
        <v>453</v>
      </c>
      <c r="G68" s="26" t="s">
        <v>111</v>
      </c>
      <c r="H68" s="26" t="s">
        <v>160</v>
      </c>
      <c r="I68" s="26"/>
      <c r="J68" s="26">
        <v>62</v>
      </c>
    </row>
    <row r="69" spans="1:10" ht="51.75">
      <c r="A69" s="26" t="s">
        <v>428</v>
      </c>
      <c r="B69" s="26" t="s">
        <v>429</v>
      </c>
      <c r="C69" s="26" t="s">
        <v>541</v>
      </c>
      <c r="D69" s="26" t="s">
        <v>261</v>
      </c>
      <c r="E69" s="35" t="s">
        <v>482</v>
      </c>
      <c r="F69" s="26" t="s">
        <v>453</v>
      </c>
      <c r="G69" s="26" t="s">
        <v>111</v>
      </c>
      <c r="H69" s="26" t="s">
        <v>160</v>
      </c>
      <c r="I69" s="26"/>
      <c r="J69" s="26">
        <v>58</v>
      </c>
    </row>
    <row r="70" spans="1:10" ht="153.75">
      <c r="A70" s="26" t="s">
        <v>428</v>
      </c>
      <c r="B70" s="26" t="s">
        <v>429</v>
      </c>
      <c r="C70" s="26" t="s">
        <v>266</v>
      </c>
      <c r="D70" s="26" t="s">
        <v>267</v>
      </c>
      <c r="E70" s="35" t="s">
        <v>542</v>
      </c>
      <c r="F70" s="26" t="s">
        <v>453</v>
      </c>
      <c r="G70" s="26" t="s">
        <v>111</v>
      </c>
      <c r="H70" s="26" t="s">
        <v>160</v>
      </c>
      <c r="I70" s="26"/>
      <c r="J70" s="26">
        <v>60</v>
      </c>
    </row>
    <row r="71" spans="1:10" ht="141">
      <c r="A71" s="26" t="s">
        <v>428</v>
      </c>
      <c r="B71" s="26" t="s">
        <v>429</v>
      </c>
      <c r="C71" s="26" t="s">
        <v>269</v>
      </c>
      <c r="D71" s="26" t="s">
        <v>176</v>
      </c>
      <c r="E71" s="35" t="s">
        <v>510</v>
      </c>
      <c r="F71" s="26" t="s">
        <v>453</v>
      </c>
      <c r="G71" s="26" t="s">
        <v>111</v>
      </c>
      <c r="H71" s="26" t="s">
        <v>160</v>
      </c>
      <c r="I71" s="26"/>
      <c r="J71" s="26">
        <v>61</v>
      </c>
    </row>
    <row r="72" spans="1:10" ht="153.75">
      <c r="A72" s="26" t="s">
        <v>428</v>
      </c>
      <c r="B72" s="26" t="s">
        <v>429</v>
      </c>
      <c r="C72" s="26" t="s">
        <v>275</v>
      </c>
      <c r="D72" s="26" t="s">
        <v>198</v>
      </c>
      <c r="E72" s="35" t="s">
        <v>519</v>
      </c>
      <c r="F72" s="26"/>
      <c r="G72" s="26" t="s">
        <v>276</v>
      </c>
      <c r="H72" s="26" t="s">
        <v>160</v>
      </c>
      <c r="I72" s="26"/>
      <c r="J72" s="26">
        <v>63</v>
      </c>
    </row>
    <row r="73" spans="1:10" ht="102.75">
      <c r="A73" s="26" t="s">
        <v>428</v>
      </c>
      <c r="B73" s="26" t="s">
        <v>429</v>
      </c>
      <c r="C73" s="26" t="s">
        <v>279</v>
      </c>
      <c r="D73" s="26" t="s">
        <v>280</v>
      </c>
      <c r="E73" s="35" t="s">
        <v>520</v>
      </c>
      <c r="F73" s="26" t="s">
        <v>453</v>
      </c>
      <c r="G73" s="26" t="s">
        <v>111</v>
      </c>
      <c r="H73" s="26" t="s">
        <v>160</v>
      </c>
      <c r="I73" s="26"/>
      <c r="J73" s="26">
        <v>64</v>
      </c>
    </row>
    <row r="74" spans="1:10" ht="39">
      <c r="A74" s="26" t="s">
        <v>428</v>
      </c>
      <c r="B74" s="26" t="s">
        <v>429</v>
      </c>
      <c r="C74" s="26" t="s">
        <v>244</v>
      </c>
      <c r="D74" s="26" t="s">
        <v>245</v>
      </c>
      <c r="E74" s="35" t="s">
        <v>543</v>
      </c>
      <c r="F74" s="26" t="s">
        <v>453</v>
      </c>
      <c r="G74" s="26" t="s">
        <v>111</v>
      </c>
      <c r="H74" s="26" t="s">
        <v>160</v>
      </c>
      <c r="I74" s="26"/>
      <c r="J74" s="26">
        <v>54</v>
      </c>
    </row>
    <row r="75" spans="1:10" ht="39">
      <c r="A75" s="26" t="s">
        <v>428</v>
      </c>
      <c r="B75" s="26" t="s">
        <v>429</v>
      </c>
      <c r="C75" s="26" t="s">
        <v>75</v>
      </c>
      <c r="D75" s="26" t="s">
        <v>76</v>
      </c>
      <c r="E75" s="35" t="s">
        <v>544</v>
      </c>
      <c r="F75" s="26" t="s">
        <v>437</v>
      </c>
      <c r="G75" s="26" t="s">
        <v>77</v>
      </c>
      <c r="H75" s="26" t="s">
        <v>451</v>
      </c>
      <c r="I75" s="26"/>
      <c r="J75" s="26">
        <v>9</v>
      </c>
    </row>
    <row r="76" spans="1:10" ht="39">
      <c r="A76" s="26" t="s">
        <v>428</v>
      </c>
      <c r="B76" s="26" t="s">
        <v>429</v>
      </c>
      <c r="C76" s="26" t="s">
        <v>86</v>
      </c>
      <c r="D76" s="26" t="s">
        <v>87</v>
      </c>
      <c r="E76" s="35" t="s">
        <v>545</v>
      </c>
      <c r="F76" s="26" t="s">
        <v>437</v>
      </c>
      <c r="G76" s="26" t="s">
        <v>47</v>
      </c>
      <c r="H76" s="26" t="s">
        <v>160</v>
      </c>
      <c r="I76" s="26"/>
      <c r="J76" s="26">
        <v>12</v>
      </c>
    </row>
    <row r="77" spans="1:10" ht="39">
      <c r="A77" s="26" t="s">
        <v>428</v>
      </c>
      <c r="B77" s="26" t="s">
        <v>429</v>
      </c>
      <c r="C77" s="26" t="s">
        <v>80</v>
      </c>
      <c r="D77" s="26" t="s">
        <v>81</v>
      </c>
      <c r="E77" s="35" t="s">
        <v>546</v>
      </c>
      <c r="F77" s="26" t="s">
        <v>437</v>
      </c>
      <c r="G77" s="26" t="s">
        <v>47</v>
      </c>
      <c r="H77" s="26" t="s">
        <v>160</v>
      </c>
      <c r="I77" s="26"/>
      <c r="J77" s="26">
        <v>10</v>
      </c>
    </row>
    <row r="78" spans="1:10" ht="26.25">
      <c r="A78" s="26" t="s">
        <v>428</v>
      </c>
      <c r="B78" s="26" t="s">
        <v>429</v>
      </c>
      <c r="C78" s="26" t="s">
        <v>83</v>
      </c>
      <c r="D78" s="26" t="s">
        <v>84</v>
      </c>
      <c r="E78" s="35" t="s">
        <v>547</v>
      </c>
      <c r="F78" s="26" t="s">
        <v>437</v>
      </c>
      <c r="G78" s="26" t="s">
        <v>47</v>
      </c>
      <c r="H78" s="26" t="s">
        <v>160</v>
      </c>
      <c r="I78" s="26"/>
      <c r="J78" s="26">
        <v>11</v>
      </c>
    </row>
    <row r="79" spans="1:10" ht="396">
      <c r="A79" s="26" t="s">
        <v>428</v>
      </c>
      <c r="B79" s="26" t="s">
        <v>429</v>
      </c>
      <c r="C79" s="26" t="s">
        <v>294</v>
      </c>
      <c r="D79" s="26" t="s">
        <v>295</v>
      </c>
      <c r="E79" s="35" t="s">
        <v>548</v>
      </c>
      <c r="F79" s="26" t="s">
        <v>433</v>
      </c>
      <c r="G79" s="26" t="s">
        <v>101</v>
      </c>
      <c r="H79" s="26" t="s">
        <v>160</v>
      </c>
      <c r="I79" s="26"/>
      <c r="J79" s="26">
        <v>74</v>
      </c>
    </row>
    <row r="80" spans="1:10" ht="26.25">
      <c r="A80" s="26" t="s">
        <v>428</v>
      </c>
      <c r="B80" s="26" t="s">
        <v>429</v>
      </c>
      <c r="C80" s="26" t="s">
        <v>227</v>
      </c>
      <c r="D80" s="26" t="s">
        <v>228</v>
      </c>
      <c r="E80" s="35" t="s">
        <v>549</v>
      </c>
      <c r="F80" s="26" t="s">
        <v>550</v>
      </c>
      <c r="G80" s="26" t="s">
        <v>229</v>
      </c>
      <c r="H80" s="26" t="s">
        <v>160</v>
      </c>
      <c r="I80" s="26"/>
      <c r="J80" s="26">
        <v>50</v>
      </c>
    </row>
    <row r="81" spans="1:10" ht="51.75">
      <c r="A81" s="26" t="s">
        <v>428</v>
      </c>
      <c r="B81" s="26" t="s">
        <v>429</v>
      </c>
      <c r="C81" s="26" t="s">
        <v>551</v>
      </c>
      <c r="D81" s="26" t="s">
        <v>233</v>
      </c>
      <c r="E81" s="35" t="s">
        <v>552</v>
      </c>
      <c r="F81" s="26"/>
      <c r="G81" s="26" t="s">
        <v>91</v>
      </c>
      <c r="H81" s="26" t="s">
        <v>160</v>
      </c>
      <c r="I81" s="26" t="s">
        <v>504</v>
      </c>
      <c r="J81" s="26">
        <v>51</v>
      </c>
    </row>
    <row r="82" spans="1:10">
      <c r="A82" s="26" t="s">
        <v>428</v>
      </c>
      <c r="B82" s="26" t="s">
        <v>429</v>
      </c>
      <c r="C82" s="26" t="s">
        <v>553</v>
      </c>
      <c r="D82" s="26" t="s">
        <v>554</v>
      </c>
      <c r="E82" s="26" t="s">
        <v>450</v>
      </c>
      <c r="F82" s="26" t="s">
        <v>443</v>
      </c>
      <c r="G82" s="26" t="s">
        <v>41</v>
      </c>
      <c r="H82" s="26" t="s">
        <v>451</v>
      </c>
      <c r="I82" s="26"/>
      <c r="J82" s="26">
        <v>83</v>
      </c>
    </row>
    <row r="83" spans="1:10" ht="51.75">
      <c r="A83" s="26" t="s">
        <v>428</v>
      </c>
      <c r="B83" s="26" t="s">
        <v>429</v>
      </c>
      <c r="C83" s="26" t="s">
        <v>236</v>
      </c>
      <c r="D83" s="26" t="s">
        <v>237</v>
      </c>
      <c r="E83" s="35" t="s">
        <v>555</v>
      </c>
      <c r="F83" s="26" t="s">
        <v>437</v>
      </c>
      <c r="G83" s="26" t="s">
        <v>47</v>
      </c>
      <c r="H83" s="26" t="s">
        <v>160</v>
      </c>
      <c r="I83" s="26"/>
      <c r="J83" s="26">
        <v>52</v>
      </c>
    </row>
    <row r="84" spans="1:10" ht="39">
      <c r="A84" s="26" t="s">
        <v>428</v>
      </c>
      <c r="B84" s="26" t="s">
        <v>429</v>
      </c>
      <c r="C84" s="26" t="s">
        <v>239</v>
      </c>
      <c r="D84" s="26" t="s">
        <v>240</v>
      </c>
      <c r="E84" s="35" t="s">
        <v>543</v>
      </c>
      <c r="F84" s="26" t="s">
        <v>453</v>
      </c>
      <c r="G84" s="26" t="s">
        <v>111</v>
      </c>
      <c r="H84" s="26" t="s">
        <v>160</v>
      </c>
      <c r="I84" s="26"/>
      <c r="J84" s="26">
        <v>53</v>
      </c>
    </row>
    <row r="85" spans="1:10" ht="51.75">
      <c r="A85" s="26" t="s">
        <v>428</v>
      </c>
      <c r="B85" s="26" t="s">
        <v>429</v>
      </c>
      <c r="C85" s="26" t="s">
        <v>247</v>
      </c>
      <c r="D85" s="26" t="s">
        <v>248</v>
      </c>
      <c r="E85" s="35" t="s">
        <v>556</v>
      </c>
      <c r="F85" s="26" t="s">
        <v>456</v>
      </c>
      <c r="G85" s="26" t="s">
        <v>71</v>
      </c>
      <c r="H85" s="26" t="s">
        <v>160</v>
      </c>
      <c r="I85" s="26"/>
      <c r="J85" s="26">
        <v>55</v>
      </c>
    </row>
    <row r="86" spans="1:10" ht="39">
      <c r="A86" s="26" t="s">
        <v>428</v>
      </c>
      <c r="B86" s="26" t="s">
        <v>429</v>
      </c>
      <c r="C86" s="26" t="s">
        <v>256</v>
      </c>
      <c r="D86" s="26" t="s">
        <v>257</v>
      </c>
      <c r="E86" s="35" t="s">
        <v>557</v>
      </c>
      <c r="F86" s="26" t="s">
        <v>433</v>
      </c>
      <c r="G86" s="26" t="s">
        <v>101</v>
      </c>
      <c r="H86" s="26" t="s">
        <v>160</v>
      </c>
      <c r="I86" s="26"/>
      <c r="J86" s="26">
        <v>57</v>
      </c>
    </row>
    <row r="87" spans="1:10" ht="51.75">
      <c r="A87" s="26" t="s">
        <v>428</v>
      </c>
      <c r="B87" s="26" t="s">
        <v>429</v>
      </c>
      <c r="C87" s="26" t="s">
        <v>250</v>
      </c>
      <c r="D87" s="26" t="s">
        <v>251</v>
      </c>
      <c r="E87" s="35" t="s">
        <v>558</v>
      </c>
      <c r="F87" s="26" t="s">
        <v>456</v>
      </c>
      <c r="G87" s="26" t="s">
        <v>71</v>
      </c>
      <c r="H87" s="26" t="s">
        <v>160</v>
      </c>
      <c r="I87" s="26"/>
      <c r="J87" s="26">
        <v>56</v>
      </c>
    </row>
    <row r="88" spans="1:10">
      <c r="A88" s="26"/>
      <c r="B88" s="26"/>
      <c r="C88" s="26"/>
      <c r="D88" s="26"/>
      <c r="E88" s="35"/>
      <c r="F88" s="26"/>
      <c r="G88" s="26"/>
      <c r="H88" s="26"/>
      <c r="I88" s="26"/>
      <c r="J88" s="26"/>
    </row>
    <row r="89" spans="1:10">
      <c r="A89" s="26"/>
      <c r="B89" s="26"/>
      <c r="C89" s="26"/>
      <c r="D89" s="26"/>
      <c r="E89" s="35"/>
      <c r="F89" s="26"/>
      <c r="G89" s="26"/>
      <c r="H89" s="26"/>
      <c r="I89" s="26"/>
      <c r="J89" s="26"/>
    </row>
    <row r="90" spans="1:10">
      <c r="A90" s="26"/>
      <c r="B90" s="26"/>
      <c r="C90" s="26"/>
      <c r="D90" s="26"/>
      <c r="E90" s="35"/>
      <c r="F90" s="26"/>
      <c r="G90" s="26"/>
      <c r="H90" s="26"/>
      <c r="I90" s="26"/>
      <c r="J90" s="26"/>
    </row>
    <row r="91" spans="1:10">
      <c r="A91" s="26"/>
      <c r="B91" s="26"/>
      <c r="C91" s="26"/>
      <c r="D91" s="26"/>
      <c r="E91" s="35"/>
      <c r="F91" s="26"/>
      <c r="G91" s="26"/>
      <c r="H91" s="26"/>
      <c r="I91" s="26"/>
      <c r="J91" s="26"/>
    </row>
    <row r="92" spans="1:10">
      <c r="A92" s="26"/>
      <c r="B92" s="26"/>
      <c r="C92" s="26"/>
      <c r="D92" s="26"/>
      <c r="E92" s="26"/>
      <c r="F92" s="26"/>
      <c r="G92" s="26"/>
      <c r="H92" s="26"/>
      <c r="I92" s="26"/>
      <c r="J92" s="26"/>
    </row>
    <row r="93" spans="1:10">
      <c r="A93" s="26"/>
      <c r="B93" s="26"/>
      <c r="C93" s="26"/>
      <c r="D93" s="26"/>
      <c r="E93" s="35"/>
      <c r="F93" s="26"/>
      <c r="G93" s="26"/>
      <c r="H93" s="26"/>
      <c r="I93" s="26"/>
      <c r="J93" s="26"/>
    </row>
    <row r="94" spans="1:10">
      <c r="A94" s="26"/>
      <c r="B94" s="26"/>
      <c r="C94" s="26"/>
      <c r="D94" s="26"/>
      <c r="E94" s="26"/>
      <c r="F94" s="26"/>
      <c r="G94" s="26"/>
      <c r="H94" s="26"/>
      <c r="I94" s="26"/>
      <c r="J94" s="26"/>
    </row>
    <row r="95" spans="1:10">
      <c r="A95" s="26"/>
      <c r="B95" s="26"/>
      <c r="C95" s="26"/>
      <c r="D95" s="26"/>
      <c r="E95" s="35"/>
      <c r="F95" s="26"/>
      <c r="G95" s="26"/>
      <c r="H95" s="26"/>
      <c r="I95" s="26"/>
      <c r="J95" s="26"/>
    </row>
    <row r="96" spans="1:10">
      <c r="A96" s="26"/>
      <c r="B96" s="26"/>
      <c r="C96" s="26"/>
      <c r="D96" s="26"/>
      <c r="E96" s="35"/>
      <c r="F96" s="26"/>
      <c r="G96" s="26"/>
      <c r="H96" s="26"/>
      <c r="I96" s="26"/>
      <c r="J96" s="26"/>
    </row>
    <row r="97" spans="1:10">
      <c r="A97" s="26"/>
      <c r="B97" s="26"/>
      <c r="C97" s="26"/>
      <c r="D97" s="26"/>
      <c r="E97" s="35"/>
      <c r="F97" s="26"/>
      <c r="G97" s="26"/>
      <c r="H97" s="26"/>
      <c r="I97" s="26"/>
      <c r="J97" s="26"/>
    </row>
    <row r="98" spans="1:10">
      <c r="A98" s="26"/>
      <c r="B98" s="26"/>
      <c r="C98" s="26"/>
      <c r="D98" s="26"/>
      <c r="E98" s="35"/>
      <c r="F98" s="26"/>
      <c r="G98" s="26"/>
      <c r="H98" s="26"/>
      <c r="I98" s="26"/>
      <c r="J98" s="26"/>
    </row>
    <row r="99" spans="1:10">
      <c r="A99" s="26"/>
      <c r="B99" s="26"/>
      <c r="C99" s="26"/>
      <c r="D99" s="26"/>
      <c r="E99" s="35"/>
      <c r="F99" s="26"/>
      <c r="G99" s="26"/>
      <c r="H99" s="26"/>
      <c r="I99" s="26"/>
      <c r="J99" s="26"/>
    </row>
    <row r="100" spans="1:10">
      <c r="A100" s="26"/>
      <c r="B100" s="26"/>
      <c r="C100" s="26"/>
      <c r="D100" s="26"/>
      <c r="E100" s="35"/>
      <c r="F100" s="26"/>
      <c r="G100" s="26"/>
      <c r="H100" s="26"/>
      <c r="I100" s="26"/>
      <c r="J100" s="26"/>
    </row>
    <row r="101" spans="1:10">
      <c r="A101" s="26"/>
      <c r="B101" s="26"/>
      <c r="C101" s="26"/>
      <c r="D101" s="26"/>
      <c r="E101" s="35"/>
      <c r="F101" s="26"/>
      <c r="G101" s="26"/>
      <c r="H101" s="26"/>
      <c r="I101" s="26"/>
      <c r="J101" s="26"/>
    </row>
    <row r="102" spans="1:10">
      <c r="A102" s="26"/>
      <c r="B102" s="26"/>
      <c r="C102" s="26"/>
      <c r="D102" s="26"/>
      <c r="E102" s="35"/>
      <c r="F102" s="26"/>
      <c r="G102" s="26"/>
      <c r="H102" s="26"/>
      <c r="I102" s="26"/>
      <c r="J102" s="26"/>
    </row>
    <row r="103" spans="1:10">
      <c r="A103" s="26"/>
      <c r="B103" s="26"/>
      <c r="C103" s="26"/>
      <c r="D103" s="26"/>
      <c r="E103" s="35"/>
      <c r="F103" s="26"/>
      <c r="G103" s="26"/>
      <c r="H103" s="26"/>
      <c r="I103" s="26"/>
      <c r="J103" s="26"/>
    </row>
    <row r="104" spans="1:10">
      <c r="A104" s="26"/>
      <c r="B104" s="26"/>
      <c r="C104" s="26"/>
      <c r="D104" s="26"/>
      <c r="E104" s="35"/>
      <c r="F104" s="26"/>
      <c r="G104" s="26"/>
      <c r="H104" s="26"/>
      <c r="I104" s="26"/>
      <c r="J104" s="26"/>
    </row>
  </sheetData>
  <autoFilter ref="A1:J104" xr:uid="{B50240B8-EF78-4766-9060-74B30AC34ED0}"/>
  <sortState xmlns:xlrd2="http://schemas.microsoft.com/office/spreadsheetml/2017/richdata2" ref="A2:J87">
    <sortCondition ref="C2:C87"/>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35B75-A1F2-489E-94F8-2E2D31B765CE}">
  <dimension ref="A1:F85"/>
  <sheetViews>
    <sheetView workbookViewId="0">
      <selection activeCell="B37" sqref="B37"/>
    </sheetView>
  </sheetViews>
  <sheetFormatPr defaultColWidth="8.85546875" defaultRowHeight="15"/>
  <cols>
    <col min="1" max="1" width="32.7109375" bestFit="1" customWidth="1"/>
  </cols>
  <sheetData>
    <row r="1" spans="1:6">
      <c r="A1" t="s">
        <v>324</v>
      </c>
      <c r="B1" t="s">
        <v>559</v>
      </c>
      <c r="C1" t="s">
        <v>560</v>
      </c>
      <c r="D1" t="s">
        <v>561</v>
      </c>
      <c r="E1" t="s">
        <v>562</v>
      </c>
      <c r="F1" t="s">
        <v>563</v>
      </c>
    </row>
    <row r="2" spans="1:6">
      <c r="A2" t="s">
        <v>431</v>
      </c>
      <c r="B2" t="s">
        <v>564</v>
      </c>
      <c r="C2" t="s">
        <v>48</v>
      </c>
      <c r="E2" s="25">
        <v>17</v>
      </c>
      <c r="F2" t="s">
        <v>565</v>
      </c>
    </row>
    <row r="3" spans="1:6">
      <c r="A3" t="s">
        <v>435</v>
      </c>
      <c r="B3" t="s">
        <v>566</v>
      </c>
      <c r="C3" t="s">
        <v>48</v>
      </c>
      <c r="E3" s="25">
        <v>18</v>
      </c>
      <c r="F3" t="s">
        <v>567</v>
      </c>
    </row>
    <row r="4" spans="1:6">
      <c r="A4" t="s">
        <v>70</v>
      </c>
      <c r="B4" t="s">
        <v>568</v>
      </c>
      <c r="C4" t="s">
        <v>48</v>
      </c>
      <c r="E4" s="25">
        <v>8</v>
      </c>
      <c r="F4" t="s">
        <v>569</v>
      </c>
    </row>
    <row r="5" spans="1:6">
      <c r="A5" t="s">
        <v>441</v>
      </c>
      <c r="B5" t="s">
        <v>41</v>
      </c>
      <c r="C5" t="s">
        <v>42</v>
      </c>
      <c r="E5" s="25">
        <v>15</v>
      </c>
      <c r="F5" t="s">
        <v>570</v>
      </c>
    </row>
    <row r="6" spans="1:6">
      <c r="A6" t="s">
        <v>291</v>
      </c>
      <c r="B6" t="s">
        <v>41</v>
      </c>
      <c r="C6" t="s">
        <v>48</v>
      </c>
      <c r="E6" s="25">
        <v>70</v>
      </c>
      <c r="F6" t="s">
        <v>571</v>
      </c>
    </row>
    <row r="7" spans="1:6">
      <c r="A7" t="s">
        <v>100</v>
      </c>
      <c r="B7" t="s">
        <v>564</v>
      </c>
      <c r="C7" t="s">
        <v>48</v>
      </c>
      <c r="E7" s="25">
        <v>16</v>
      </c>
      <c r="F7" t="s">
        <v>572</v>
      </c>
    </row>
    <row r="8" spans="1:6">
      <c r="A8" t="s">
        <v>107</v>
      </c>
      <c r="B8" t="s">
        <v>91</v>
      </c>
      <c r="C8" t="s">
        <v>48</v>
      </c>
      <c r="E8" s="25">
        <v>19</v>
      </c>
      <c r="F8" t="s">
        <v>573</v>
      </c>
    </row>
    <row r="9" spans="1:6">
      <c r="A9" t="s">
        <v>449</v>
      </c>
      <c r="B9" t="s">
        <v>41</v>
      </c>
      <c r="C9" t="s">
        <v>42</v>
      </c>
      <c r="E9" s="25">
        <v>75</v>
      </c>
      <c r="F9" t="s">
        <v>450</v>
      </c>
    </row>
    <row r="10" spans="1:6">
      <c r="A10" t="s">
        <v>110</v>
      </c>
      <c r="B10" t="s">
        <v>111</v>
      </c>
      <c r="C10" t="s">
        <v>48</v>
      </c>
      <c r="E10" s="25">
        <v>20</v>
      </c>
      <c r="F10" t="s">
        <v>574</v>
      </c>
    </row>
    <row r="11" spans="1:6">
      <c r="A11" t="s">
        <v>170</v>
      </c>
      <c r="B11" t="s">
        <v>568</v>
      </c>
      <c r="C11" t="s">
        <v>48</v>
      </c>
      <c r="E11" s="25">
        <v>36</v>
      </c>
      <c r="F11" t="s">
        <v>575</v>
      </c>
    </row>
    <row r="12" spans="1:6">
      <c r="A12" t="s">
        <v>458</v>
      </c>
      <c r="B12" t="s">
        <v>41</v>
      </c>
      <c r="C12" t="s">
        <v>42</v>
      </c>
      <c r="E12" s="25">
        <v>7</v>
      </c>
      <c r="F12" t="s">
        <v>576</v>
      </c>
    </row>
    <row r="13" spans="1:6">
      <c r="A13" t="s">
        <v>55</v>
      </c>
      <c r="B13" t="s">
        <v>59</v>
      </c>
      <c r="C13" t="s">
        <v>48</v>
      </c>
      <c r="E13" s="25">
        <v>3</v>
      </c>
      <c r="F13" t="s">
        <v>577</v>
      </c>
    </row>
    <row r="14" spans="1:6">
      <c r="A14" t="s">
        <v>466</v>
      </c>
      <c r="B14" t="s">
        <v>578</v>
      </c>
      <c r="C14" t="s">
        <v>48</v>
      </c>
      <c r="E14" s="25">
        <v>22</v>
      </c>
      <c r="F14" t="s">
        <v>579</v>
      </c>
    </row>
    <row r="15" spans="1:6">
      <c r="A15" t="s">
        <v>67</v>
      </c>
      <c r="B15" t="s">
        <v>59</v>
      </c>
      <c r="C15" t="s">
        <v>48</v>
      </c>
      <c r="E15" s="25">
        <v>5</v>
      </c>
      <c r="F15" t="s">
        <v>580</v>
      </c>
    </row>
    <row r="16" spans="1:6">
      <c r="A16" t="s">
        <v>117</v>
      </c>
      <c r="B16" t="s">
        <v>581</v>
      </c>
      <c r="C16" t="s">
        <v>48</v>
      </c>
      <c r="E16" s="25">
        <v>23</v>
      </c>
      <c r="F16" t="s">
        <v>582</v>
      </c>
    </row>
    <row r="17" spans="1:6">
      <c r="A17" t="s">
        <v>61</v>
      </c>
      <c r="B17" t="s">
        <v>59</v>
      </c>
      <c r="C17" t="s">
        <v>48</v>
      </c>
      <c r="E17" s="25">
        <v>4</v>
      </c>
      <c r="F17" t="s">
        <v>583</v>
      </c>
    </row>
    <row r="18" spans="1:6">
      <c r="A18" t="s">
        <v>185</v>
      </c>
      <c r="B18" t="s">
        <v>111</v>
      </c>
      <c r="C18" t="s">
        <v>48</v>
      </c>
      <c r="E18" s="25">
        <v>39</v>
      </c>
      <c r="F18" t="s">
        <v>584</v>
      </c>
    </row>
    <row r="19" spans="1:6">
      <c r="A19" t="s">
        <v>131</v>
      </c>
      <c r="B19" t="s">
        <v>568</v>
      </c>
      <c r="C19" t="s">
        <v>48</v>
      </c>
      <c r="E19" s="25">
        <v>26</v>
      </c>
      <c r="F19" t="s">
        <v>585</v>
      </c>
    </row>
    <row r="20" spans="1:6">
      <c r="A20" t="s">
        <v>299</v>
      </c>
      <c r="B20" t="s">
        <v>568</v>
      </c>
      <c r="C20" t="s">
        <v>48</v>
      </c>
      <c r="E20" s="25">
        <v>82</v>
      </c>
      <c r="F20" t="s">
        <v>586</v>
      </c>
    </row>
    <row r="21" spans="1:6">
      <c r="A21" t="s">
        <v>476</v>
      </c>
      <c r="B21" t="s">
        <v>568</v>
      </c>
      <c r="C21" t="s">
        <v>48</v>
      </c>
      <c r="E21" s="25">
        <v>21</v>
      </c>
      <c r="F21" t="s">
        <v>477</v>
      </c>
    </row>
    <row r="22" spans="1:6">
      <c r="A22" t="s">
        <v>310</v>
      </c>
      <c r="B22" t="s">
        <v>311</v>
      </c>
      <c r="C22" t="s">
        <v>42</v>
      </c>
      <c r="D22" t="s">
        <v>587</v>
      </c>
      <c r="E22" s="25">
        <v>65</v>
      </c>
    </row>
    <row r="23" spans="1:6">
      <c r="A23" t="s">
        <v>314</v>
      </c>
      <c r="B23" t="s">
        <v>588</v>
      </c>
      <c r="C23" t="s">
        <v>42</v>
      </c>
      <c r="D23" t="s">
        <v>589</v>
      </c>
      <c r="E23" s="25">
        <v>66</v>
      </c>
      <c r="F23" t="s">
        <v>590</v>
      </c>
    </row>
    <row r="24" spans="1:6">
      <c r="A24" t="s">
        <v>123</v>
      </c>
      <c r="B24" t="s">
        <v>566</v>
      </c>
      <c r="C24" t="s">
        <v>48</v>
      </c>
      <c r="E24" s="25">
        <v>24</v>
      </c>
      <c r="F24" t="s">
        <v>591</v>
      </c>
    </row>
    <row r="25" spans="1:6">
      <c r="A25" t="s">
        <v>127</v>
      </c>
      <c r="B25" t="s">
        <v>566</v>
      </c>
      <c r="C25" t="s">
        <v>48</v>
      </c>
      <c r="E25" s="25">
        <v>25</v>
      </c>
      <c r="F25" t="s">
        <v>592</v>
      </c>
    </row>
    <row r="26" spans="1:6">
      <c r="A26" t="s">
        <v>135</v>
      </c>
      <c r="B26" t="s">
        <v>111</v>
      </c>
      <c r="C26" t="s">
        <v>48</v>
      </c>
      <c r="E26" s="25">
        <v>27</v>
      </c>
      <c r="F26" t="s">
        <v>593</v>
      </c>
    </row>
    <row r="27" spans="1:6">
      <c r="A27" t="s">
        <v>484</v>
      </c>
      <c r="B27" t="s">
        <v>568</v>
      </c>
      <c r="C27" t="s">
        <v>48</v>
      </c>
      <c r="E27" s="25">
        <v>83</v>
      </c>
      <c r="F27" t="s">
        <v>594</v>
      </c>
    </row>
    <row r="28" spans="1:6">
      <c r="A28" t="s">
        <v>96</v>
      </c>
      <c r="B28" t="s">
        <v>91</v>
      </c>
      <c r="C28" t="s">
        <v>48</v>
      </c>
      <c r="E28" s="25">
        <v>14</v>
      </c>
      <c r="F28" t="s">
        <v>595</v>
      </c>
    </row>
    <row r="29" spans="1:6">
      <c r="A29" t="s">
        <v>489</v>
      </c>
      <c r="B29" t="s">
        <v>41</v>
      </c>
      <c r="C29" t="s">
        <v>42</v>
      </c>
      <c r="E29" s="25">
        <v>73</v>
      </c>
      <c r="F29" t="s">
        <v>450</v>
      </c>
    </row>
    <row r="30" spans="1:6">
      <c r="A30" t="s">
        <v>90</v>
      </c>
      <c r="B30" t="s">
        <v>91</v>
      </c>
      <c r="C30" t="s">
        <v>42</v>
      </c>
      <c r="E30" s="25">
        <v>13</v>
      </c>
      <c r="F30" t="s">
        <v>596</v>
      </c>
    </row>
    <row r="31" spans="1:6">
      <c r="A31" t="s">
        <v>492</v>
      </c>
      <c r="B31" t="s">
        <v>41</v>
      </c>
      <c r="C31" t="s">
        <v>42</v>
      </c>
      <c r="E31" s="25">
        <v>74</v>
      </c>
      <c r="F31" t="s">
        <v>450</v>
      </c>
    </row>
    <row r="32" spans="1:6">
      <c r="A32" t="s">
        <v>139</v>
      </c>
      <c r="B32" t="s">
        <v>111</v>
      </c>
      <c r="C32" t="s">
        <v>48</v>
      </c>
      <c r="E32" s="25">
        <v>28</v>
      </c>
      <c r="F32" t="s">
        <v>597</v>
      </c>
    </row>
    <row r="33" spans="1:6">
      <c r="A33" t="s">
        <v>143</v>
      </c>
      <c r="B33" t="s">
        <v>111</v>
      </c>
      <c r="C33" t="s">
        <v>48</v>
      </c>
      <c r="E33" s="25">
        <v>29</v>
      </c>
      <c r="F33" t="s">
        <v>598</v>
      </c>
    </row>
    <row r="34" spans="1:6">
      <c r="A34" t="s">
        <v>148</v>
      </c>
      <c r="B34" t="s">
        <v>91</v>
      </c>
      <c r="C34" t="s">
        <v>48</v>
      </c>
      <c r="E34" s="25">
        <v>30</v>
      </c>
      <c r="F34" t="s">
        <v>599</v>
      </c>
    </row>
    <row r="35" spans="1:6">
      <c r="A35" t="s">
        <v>497</v>
      </c>
      <c r="B35" t="s">
        <v>41</v>
      </c>
      <c r="C35" t="s">
        <v>42</v>
      </c>
      <c r="E35" s="25">
        <v>76</v>
      </c>
      <c r="F35" t="s">
        <v>450</v>
      </c>
    </row>
    <row r="36" spans="1:6">
      <c r="A36" t="s">
        <v>499</v>
      </c>
      <c r="B36" t="s">
        <v>41</v>
      </c>
      <c r="C36" t="s">
        <v>42</v>
      </c>
      <c r="E36" s="25">
        <v>6</v>
      </c>
      <c r="F36" t="s">
        <v>600</v>
      </c>
    </row>
    <row r="37" spans="1:6">
      <c r="A37" t="s">
        <v>319</v>
      </c>
      <c r="B37" t="s">
        <v>311</v>
      </c>
      <c r="C37" t="s">
        <v>42</v>
      </c>
      <c r="D37" t="s">
        <v>587</v>
      </c>
      <c r="E37" s="25">
        <v>71</v>
      </c>
    </row>
    <row r="38" spans="1:6">
      <c r="A38" t="s">
        <v>322</v>
      </c>
      <c r="B38" t="s">
        <v>588</v>
      </c>
      <c r="C38" t="s">
        <v>42</v>
      </c>
      <c r="D38" t="s">
        <v>589</v>
      </c>
      <c r="E38" s="25">
        <v>72</v>
      </c>
      <c r="F38" t="s">
        <v>601</v>
      </c>
    </row>
    <row r="39" spans="1:6">
      <c r="A39" t="s">
        <v>162</v>
      </c>
      <c r="B39" t="s">
        <v>111</v>
      </c>
      <c r="C39" t="s">
        <v>48</v>
      </c>
      <c r="E39" s="25">
        <v>34</v>
      </c>
      <c r="F39" t="s">
        <v>602</v>
      </c>
    </row>
    <row r="40" spans="1:6">
      <c r="A40" t="s">
        <v>154</v>
      </c>
      <c r="B40" t="s">
        <v>568</v>
      </c>
      <c r="C40" t="s">
        <v>48</v>
      </c>
      <c r="E40" s="25">
        <v>32</v>
      </c>
      <c r="F40" t="s">
        <v>603</v>
      </c>
    </row>
    <row r="41" spans="1:6">
      <c r="A41" t="s">
        <v>158</v>
      </c>
      <c r="B41" t="s">
        <v>568</v>
      </c>
      <c r="C41" t="s">
        <v>48</v>
      </c>
      <c r="E41" s="25">
        <v>33</v>
      </c>
      <c r="F41" t="s">
        <v>604</v>
      </c>
    </row>
    <row r="42" spans="1:6">
      <c r="A42" t="s">
        <v>165</v>
      </c>
      <c r="B42" t="s">
        <v>568</v>
      </c>
      <c r="C42" t="s">
        <v>48</v>
      </c>
      <c r="E42" s="25">
        <v>35</v>
      </c>
      <c r="F42" t="s">
        <v>605</v>
      </c>
    </row>
    <row r="43" spans="1:6">
      <c r="A43" t="s">
        <v>303</v>
      </c>
      <c r="B43" t="s">
        <v>568</v>
      </c>
      <c r="C43" t="s">
        <v>48</v>
      </c>
      <c r="E43" s="25">
        <v>84</v>
      </c>
      <c r="F43" t="s">
        <v>606</v>
      </c>
    </row>
    <row r="44" spans="1:6">
      <c r="A44" t="s">
        <v>174</v>
      </c>
      <c r="B44" t="s">
        <v>111</v>
      </c>
      <c r="C44" t="s">
        <v>48</v>
      </c>
      <c r="E44" s="25">
        <v>37</v>
      </c>
      <c r="F44" t="s">
        <v>607</v>
      </c>
    </row>
    <row r="45" spans="1:6">
      <c r="A45" t="s">
        <v>512</v>
      </c>
      <c r="B45" t="s">
        <v>41</v>
      </c>
      <c r="C45" t="s">
        <v>42</v>
      </c>
      <c r="E45" s="25">
        <v>1</v>
      </c>
    </row>
    <row r="46" spans="1:6">
      <c r="A46" t="s">
        <v>179</v>
      </c>
      <c r="B46" t="s">
        <v>566</v>
      </c>
      <c r="C46" t="s">
        <v>48</v>
      </c>
      <c r="E46" s="25">
        <v>38</v>
      </c>
      <c r="F46" t="s">
        <v>608</v>
      </c>
    </row>
    <row r="47" spans="1:6">
      <c r="A47" t="s">
        <v>190</v>
      </c>
      <c r="B47" t="s">
        <v>609</v>
      </c>
      <c r="C47" t="s">
        <v>48</v>
      </c>
      <c r="E47" s="25">
        <v>40</v>
      </c>
      <c r="F47" t="s">
        <v>610</v>
      </c>
    </row>
    <row r="48" spans="1:6">
      <c r="A48" t="s">
        <v>196</v>
      </c>
      <c r="B48" t="s">
        <v>111</v>
      </c>
      <c r="C48" t="s">
        <v>48</v>
      </c>
      <c r="E48" s="25">
        <v>41</v>
      </c>
      <c r="F48" t="s">
        <v>611</v>
      </c>
    </row>
    <row r="49" spans="1:6">
      <c r="A49" t="s">
        <v>201</v>
      </c>
      <c r="B49" t="s">
        <v>111</v>
      </c>
      <c r="C49" t="s">
        <v>48</v>
      </c>
      <c r="E49" s="25">
        <v>42</v>
      </c>
      <c r="F49" t="s">
        <v>612</v>
      </c>
    </row>
    <row r="50" spans="1:6">
      <c r="A50" t="s">
        <v>206</v>
      </c>
      <c r="B50" t="s">
        <v>609</v>
      </c>
      <c r="C50" t="s">
        <v>48</v>
      </c>
      <c r="E50" s="25">
        <v>43</v>
      </c>
      <c r="F50" t="s">
        <v>613</v>
      </c>
    </row>
    <row r="51" spans="1:6">
      <c r="A51" t="s">
        <v>151</v>
      </c>
      <c r="B51" t="s">
        <v>91</v>
      </c>
      <c r="C51" t="s">
        <v>48</v>
      </c>
      <c r="E51" s="25">
        <v>31</v>
      </c>
      <c r="F51" t="s">
        <v>614</v>
      </c>
    </row>
    <row r="52" spans="1:6">
      <c r="A52" t="s">
        <v>524</v>
      </c>
      <c r="B52" t="s">
        <v>41</v>
      </c>
      <c r="C52" t="s">
        <v>42</v>
      </c>
      <c r="E52" s="25">
        <v>79</v>
      </c>
      <c r="F52" t="s">
        <v>450</v>
      </c>
    </row>
    <row r="53" spans="1:6">
      <c r="A53" t="s">
        <v>209</v>
      </c>
      <c r="B53" t="s">
        <v>111</v>
      </c>
      <c r="C53" t="s">
        <v>48</v>
      </c>
      <c r="E53" s="25">
        <v>44</v>
      </c>
      <c r="F53" t="s">
        <v>615</v>
      </c>
    </row>
    <row r="54" spans="1:6">
      <c r="A54" t="s">
        <v>212</v>
      </c>
      <c r="B54" t="s">
        <v>111</v>
      </c>
      <c r="C54" t="s">
        <v>48</v>
      </c>
      <c r="E54" s="25">
        <v>45</v>
      </c>
      <c r="F54" t="s">
        <v>616</v>
      </c>
    </row>
    <row r="55" spans="1:6">
      <c r="A55" t="s">
        <v>221</v>
      </c>
      <c r="B55" t="s">
        <v>568</v>
      </c>
      <c r="C55" t="s">
        <v>48</v>
      </c>
      <c r="E55" s="25">
        <v>47</v>
      </c>
      <c r="F55" t="s">
        <v>617</v>
      </c>
    </row>
    <row r="56" spans="1:6">
      <c r="A56" t="s">
        <v>264</v>
      </c>
      <c r="B56" t="s">
        <v>111</v>
      </c>
      <c r="C56" t="s">
        <v>48</v>
      </c>
      <c r="E56" s="25">
        <v>59</v>
      </c>
      <c r="F56" t="s">
        <v>618</v>
      </c>
    </row>
    <row r="57" spans="1:6">
      <c r="A57" t="s">
        <v>272</v>
      </c>
      <c r="B57" t="s">
        <v>111</v>
      </c>
      <c r="C57" t="s">
        <v>48</v>
      </c>
      <c r="E57" s="25">
        <v>62</v>
      </c>
      <c r="F57" t="s">
        <v>619</v>
      </c>
    </row>
    <row r="58" spans="1:6">
      <c r="A58" t="s">
        <v>261</v>
      </c>
      <c r="B58" t="s">
        <v>111</v>
      </c>
      <c r="C58" t="s">
        <v>48</v>
      </c>
      <c r="E58" s="25">
        <v>58</v>
      </c>
      <c r="F58" t="s">
        <v>593</v>
      </c>
    </row>
    <row r="59" spans="1:6">
      <c r="A59" t="s">
        <v>267</v>
      </c>
      <c r="B59" t="s">
        <v>111</v>
      </c>
      <c r="C59" t="s">
        <v>48</v>
      </c>
      <c r="E59" s="25">
        <v>60</v>
      </c>
      <c r="F59" t="s">
        <v>620</v>
      </c>
    </row>
    <row r="60" spans="1:6">
      <c r="A60" t="s">
        <v>176</v>
      </c>
      <c r="B60" t="s">
        <v>111</v>
      </c>
      <c r="C60" t="s">
        <v>48</v>
      </c>
      <c r="E60" s="25">
        <v>61</v>
      </c>
      <c r="F60" t="s">
        <v>621</v>
      </c>
    </row>
    <row r="61" spans="1:6">
      <c r="A61" t="s">
        <v>198</v>
      </c>
      <c r="B61" t="s">
        <v>276</v>
      </c>
      <c r="C61" t="s">
        <v>48</v>
      </c>
      <c r="E61" s="25">
        <v>63</v>
      </c>
      <c r="F61" t="s">
        <v>622</v>
      </c>
    </row>
    <row r="62" spans="1:6">
      <c r="A62" t="s">
        <v>280</v>
      </c>
      <c r="B62" t="s">
        <v>111</v>
      </c>
      <c r="C62" t="s">
        <v>48</v>
      </c>
      <c r="E62" s="25">
        <v>64</v>
      </c>
      <c r="F62" t="s">
        <v>612</v>
      </c>
    </row>
    <row r="63" spans="1:6">
      <c r="A63" t="s">
        <v>245</v>
      </c>
      <c r="B63" t="s">
        <v>111</v>
      </c>
      <c r="C63" t="s">
        <v>48</v>
      </c>
      <c r="E63" s="25">
        <v>54</v>
      </c>
      <c r="F63" t="s">
        <v>623</v>
      </c>
    </row>
    <row r="64" spans="1:6">
      <c r="A64" t="s">
        <v>225</v>
      </c>
      <c r="B64" t="s">
        <v>91</v>
      </c>
      <c r="C64" t="s">
        <v>48</v>
      </c>
      <c r="E64" s="25">
        <v>48</v>
      </c>
      <c r="F64" t="s">
        <v>624</v>
      </c>
    </row>
    <row r="65" spans="1:6">
      <c r="A65" t="s">
        <v>530</v>
      </c>
      <c r="B65" t="s">
        <v>41</v>
      </c>
      <c r="C65" t="s">
        <v>42</v>
      </c>
      <c r="E65" s="25">
        <v>77</v>
      </c>
      <c r="F65" t="s">
        <v>450</v>
      </c>
    </row>
    <row r="66" spans="1:6">
      <c r="A66" t="s">
        <v>307</v>
      </c>
      <c r="B66" t="s">
        <v>41</v>
      </c>
      <c r="C66" t="s">
        <v>48</v>
      </c>
      <c r="E66" s="25">
        <v>67</v>
      </c>
    </row>
    <row r="67" spans="1:6">
      <c r="A67" t="s">
        <v>532</v>
      </c>
      <c r="B67" t="s">
        <v>91</v>
      </c>
      <c r="C67" t="s">
        <v>48</v>
      </c>
      <c r="E67" s="25">
        <v>49</v>
      </c>
      <c r="F67" t="s">
        <v>625</v>
      </c>
    </row>
    <row r="68" spans="1:6">
      <c r="A68" t="s">
        <v>216</v>
      </c>
      <c r="B68" t="s">
        <v>566</v>
      </c>
      <c r="C68" t="s">
        <v>48</v>
      </c>
      <c r="E68" s="25">
        <v>46</v>
      </c>
      <c r="F68" t="s">
        <v>626</v>
      </c>
    </row>
    <row r="69" spans="1:6">
      <c r="A69" t="s">
        <v>46</v>
      </c>
      <c r="B69" t="s">
        <v>566</v>
      </c>
      <c r="C69" t="s">
        <v>48</v>
      </c>
      <c r="E69" s="25">
        <v>2</v>
      </c>
      <c r="F69" t="s">
        <v>627</v>
      </c>
    </row>
    <row r="70" spans="1:6">
      <c r="A70" t="s">
        <v>537</v>
      </c>
      <c r="B70" t="s">
        <v>41</v>
      </c>
      <c r="C70" t="s">
        <v>42</v>
      </c>
      <c r="E70" s="25">
        <v>80</v>
      </c>
      <c r="F70" t="s">
        <v>538</v>
      </c>
    </row>
    <row r="71" spans="1:6">
      <c r="A71" t="s">
        <v>282</v>
      </c>
      <c r="B71" t="s">
        <v>41</v>
      </c>
      <c r="C71" t="s">
        <v>48</v>
      </c>
      <c r="E71" s="25">
        <v>68</v>
      </c>
      <c r="F71" t="s">
        <v>628</v>
      </c>
    </row>
    <row r="72" spans="1:6">
      <c r="A72" t="s">
        <v>285</v>
      </c>
      <c r="B72" t="s">
        <v>629</v>
      </c>
      <c r="C72" t="s">
        <v>48</v>
      </c>
      <c r="E72" s="25">
        <v>69</v>
      </c>
      <c r="F72" t="s">
        <v>630</v>
      </c>
    </row>
    <row r="73" spans="1:6">
      <c r="A73" t="s">
        <v>76</v>
      </c>
      <c r="B73" t="s">
        <v>631</v>
      </c>
      <c r="C73" t="s">
        <v>48</v>
      </c>
      <c r="E73" s="25">
        <v>9</v>
      </c>
      <c r="F73" t="s">
        <v>632</v>
      </c>
    </row>
    <row r="74" spans="1:6">
      <c r="A74" t="s">
        <v>87</v>
      </c>
      <c r="B74" t="s">
        <v>41</v>
      </c>
      <c r="C74" t="s">
        <v>48</v>
      </c>
      <c r="E74" s="25">
        <v>12</v>
      </c>
      <c r="F74" t="s">
        <v>633</v>
      </c>
    </row>
    <row r="75" spans="1:6">
      <c r="A75" t="s">
        <v>81</v>
      </c>
      <c r="B75" t="s">
        <v>566</v>
      </c>
      <c r="C75" t="s">
        <v>48</v>
      </c>
      <c r="E75" s="25">
        <v>10</v>
      </c>
      <c r="F75" t="s">
        <v>634</v>
      </c>
    </row>
    <row r="76" spans="1:6">
      <c r="A76" t="s">
        <v>84</v>
      </c>
      <c r="B76" t="s">
        <v>41</v>
      </c>
      <c r="C76" t="s">
        <v>48</v>
      </c>
      <c r="E76" s="25">
        <v>11</v>
      </c>
      <c r="F76" t="s">
        <v>635</v>
      </c>
    </row>
    <row r="77" spans="1:6">
      <c r="A77" t="s">
        <v>295</v>
      </c>
      <c r="B77" t="s">
        <v>564</v>
      </c>
      <c r="C77" t="s">
        <v>48</v>
      </c>
      <c r="E77" s="25">
        <v>81</v>
      </c>
      <c r="F77" t="s">
        <v>636</v>
      </c>
    </row>
    <row r="78" spans="1:6">
      <c r="A78" t="s">
        <v>228</v>
      </c>
      <c r="B78" t="s">
        <v>578</v>
      </c>
      <c r="C78" t="s">
        <v>48</v>
      </c>
      <c r="E78" s="25">
        <v>50</v>
      </c>
      <c r="F78" t="s">
        <v>637</v>
      </c>
    </row>
    <row r="79" spans="1:6">
      <c r="A79" t="s">
        <v>233</v>
      </c>
      <c r="B79" t="s">
        <v>91</v>
      </c>
      <c r="C79" t="s">
        <v>48</v>
      </c>
      <c r="E79" s="25">
        <v>51</v>
      </c>
      <c r="F79" t="s">
        <v>638</v>
      </c>
    </row>
    <row r="80" spans="1:6">
      <c r="A80" t="s">
        <v>554</v>
      </c>
      <c r="B80" t="s">
        <v>41</v>
      </c>
      <c r="C80" t="s">
        <v>42</v>
      </c>
      <c r="E80" s="25">
        <v>78</v>
      </c>
      <c r="F80" t="s">
        <v>450</v>
      </c>
    </row>
    <row r="81" spans="1:6">
      <c r="A81" t="s">
        <v>237</v>
      </c>
      <c r="B81" t="s">
        <v>566</v>
      </c>
      <c r="C81" t="s">
        <v>48</v>
      </c>
      <c r="E81" s="25">
        <v>52</v>
      </c>
      <c r="F81" t="s">
        <v>639</v>
      </c>
    </row>
    <row r="82" spans="1:6">
      <c r="A82" t="s">
        <v>240</v>
      </c>
      <c r="B82" t="s">
        <v>111</v>
      </c>
      <c r="C82" t="s">
        <v>48</v>
      </c>
      <c r="E82" s="25">
        <v>53</v>
      </c>
      <c r="F82" t="s">
        <v>623</v>
      </c>
    </row>
    <row r="83" spans="1:6">
      <c r="A83" t="s">
        <v>248</v>
      </c>
      <c r="B83" t="s">
        <v>568</v>
      </c>
      <c r="C83" t="s">
        <v>48</v>
      </c>
      <c r="E83" s="25">
        <v>55</v>
      </c>
      <c r="F83" t="s">
        <v>640</v>
      </c>
    </row>
    <row r="84" spans="1:6">
      <c r="A84" t="s">
        <v>257</v>
      </c>
      <c r="B84" t="s">
        <v>564</v>
      </c>
      <c r="C84" t="s">
        <v>48</v>
      </c>
      <c r="E84" s="25">
        <v>57</v>
      </c>
      <c r="F84" t="s">
        <v>641</v>
      </c>
    </row>
    <row r="85" spans="1:6">
      <c r="A85" t="s">
        <v>251</v>
      </c>
      <c r="B85" t="s">
        <v>642</v>
      </c>
      <c r="C85" t="s">
        <v>48</v>
      </c>
      <c r="E85" s="25">
        <v>56</v>
      </c>
      <c r="F85" t="s">
        <v>643</v>
      </c>
    </row>
  </sheetData>
  <sortState xmlns:xlrd2="http://schemas.microsoft.com/office/spreadsheetml/2017/richdata2" ref="A2:K90">
    <sortCondition ref="A2:A90"/>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9FE176A865024B82746AC01372DAB6" ma:contentTypeVersion="17" ma:contentTypeDescription="Create a new document." ma:contentTypeScope="" ma:versionID="922c480ddc59e6305a8a8fb3a8148c08">
  <xsd:schema xmlns:xsd="http://www.w3.org/2001/XMLSchema" xmlns:xs="http://www.w3.org/2001/XMLSchema" xmlns:p="http://schemas.microsoft.com/office/2006/metadata/properties" xmlns:ns2="8889ac66-a331-4fe6-8d0f-c6fea2346e24" xmlns:ns3="58a27bba-3e67-43d1-8504-e8ab049072dd" targetNamespace="http://schemas.microsoft.com/office/2006/metadata/properties" ma:root="true" ma:fieldsID="7adf1aec20f105c257528873c177ef16" ns2:_="" ns3:_="">
    <xsd:import namespace="8889ac66-a331-4fe6-8d0f-c6fea2346e24"/>
    <xsd:import namespace="58a27bba-3e67-43d1-8504-e8ab049072d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89ac66-a331-4fe6-8d0f-c6fea2346e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57667d4e-71ed-4d32-b27c-cd58ec4b434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8a27bba-3e67-43d1-8504-e8ab049072d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8aff4ee-6883-4921-985f-3481f2310e9f}" ma:internalName="TaxCatchAll" ma:showField="CatchAllData" ma:web="58a27bba-3e67-43d1-8504-e8ab049072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8a27bba-3e67-43d1-8504-e8ab049072dd" xsi:nil="true"/>
    <lcf76f155ced4ddcb4097134ff3c332f xmlns="8889ac66-a331-4fe6-8d0f-c6fea2346e24">
      <Terms xmlns="http://schemas.microsoft.com/office/infopath/2007/PartnerControls"/>
    </lcf76f155ced4ddcb4097134ff3c332f>
    <SharedWithUsers xmlns="58a27bba-3e67-43d1-8504-e8ab049072dd">
      <UserInfo>
        <DisplayName>Anand Waishampayan</DisplayName>
        <AccountId>70</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84F7F3-77E9-4523-AFE1-BA9C3C1DDAE8}"/>
</file>

<file path=customXml/itemProps2.xml><?xml version="1.0" encoding="utf-8"?>
<ds:datastoreItem xmlns:ds="http://schemas.openxmlformats.org/officeDocument/2006/customXml" ds:itemID="{3BB92FD7-3D67-4D76-9D89-2FC79341A64F}"/>
</file>

<file path=customXml/itemProps3.xml><?xml version="1.0" encoding="utf-8"?>
<ds:datastoreItem xmlns:ds="http://schemas.openxmlformats.org/officeDocument/2006/customXml" ds:itemID="{A1E513F4-A103-415D-B9AD-2F9B0BEDFF3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ETL Source to Target Map</dc:title>
  <dc:subject/>
  <dc:creator/>
  <cp:keywords/>
  <dc:description/>
  <cp:lastModifiedBy/>
  <cp:revision/>
  <dcterms:created xsi:type="dcterms:W3CDTF">2017-12-24T20:55:20Z</dcterms:created>
  <dcterms:modified xsi:type="dcterms:W3CDTF">2026-06-02T14:46:49Z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0x010100689FE176A865024B82746AC01372DAB6</vt:lpwstr>
  </property>
  <property fmtid="{D5CDD505-2E9C-101B-9397-08002B2CF9AE}" pid="3" name="Order">
    <vt:r8>1080200</vt:r8>
  </property>
  <property fmtid="{D5CDD505-2E9C-101B-9397-08002B2CF9AE}" pid="4" name="MediaServiceImageTags">
    <vt:lpwstr/>
  </property>
</Properties>
</file>