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filterPrivacy="1" defaultThemeVersion="124226"/>
  <xr:revisionPtr revIDLastSave="0" documentId="8_{74B102EF-495A-4B78-A31B-0B9B42E82720}" xr6:coauthVersionLast="47" xr6:coauthVersionMax="47" xr10:uidLastSave="{00000000-0000-0000-0000-000000000000}"/>
  <bookViews>
    <workbookView xWindow="-120" yWindow="-120" windowWidth="29040" windowHeight="15840" tabRatio="855" xr2:uid="{00000000-000D-0000-FFFF-FFFF00000000}"/>
  </bookViews>
  <sheets>
    <sheet name="Table-View" sheetId="13" r:id="rId1"/>
    <sheet name="Grain Columns" sheetId="18" r:id="rId2"/>
    <sheet name="ETL Notes" sheetId="20" r:id="rId3"/>
    <sheet name="Additional View" sheetId="14" r:id="rId4"/>
    <sheet name="Model" sheetId="16" r:id="rId5"/>
    <sheet name="Table" sheetId="17" r:id="rId6"/>
    <sheet name="View" sheetId="25" r:id="rId7"/>
  </sheets>
  <definedNames>
    <definedName name="_xlnm._FilterDatabase" localSheetId="4" hidden="1">Model!$A$1:$J$104</definedName>
    <definedName name="_xlnm._FilterDatabase" localSheetId="5" hidden="1">Table!$A$1:$G$92</definedName>
    <definedName name="_xlnm._FilterDatabase" localSheetId="0" hidden="1">'Table-View'!$A$9:$AC$154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13" l="1"/>
  <c r="N20" i="13"/>
  <c r="Q20" i="13"/>
  <c r="U20" i="13"/>
  <c r="N11" i="13"/>
  <c r="N12" i="13"/>
  <c r="N13" i="13"/>
  <c r="N14" i="13"/>
  <c r="N15" i="13"/>
  <c r="N16" i="13"/>
  <c r="N17" i="13"/>
  <c r="N18" i="13"/>
  <c r="N19"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0" i="13"/>
  <c r="O16" i="13"/>
  <c r="M11" i="13"/>
  <c r="M12" i="13"/>
  <c r="M13" i="13"/>
  <c r="M14" i="13"/>
  <c r="M15" i="13"/>
  <c r="M16" i="13"/>
  <c r="M17" i="13"/>
  <c r="M18" i="13"/>
  <c r="M19"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0" i="13"/>
  <c r="Q109" i="13" l="1"/>
  <c r="Q110" i="13"/>
  <c r="Q111" i="13"/>
  <c r="U11" i="13"/>
  <c r="U12" i="13"/>
  <c r="U13" i="13"/>
  <c r="U14" i="13"/>
  <c r="U15" i="13"/>
  <c r="U16" i="13"/>
  <c r="U17" i="13"/>
  <c r="U18" i="13"/>
  <c r="U19"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0" i="13"/>
  <c r="Q11" i="13"/>
  <c r="Q12" i="13"/>
  <c r="Q13" i="13"/>
  <c r="Q14" i="13"/>
  <c r="Q15" i="13"/>
  <c r="Q16" i="13"/>
  <c r="Q17" i="13"/>
  <c r="Q18" i="13"/>
  <c r="Q19"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tc={A24A2D70-ED4E-44AB-B5CC-4CE7AFC2F48A}</author>
    <author>tc={4AA4CE10-73FE-4646-8C7E-C1F0E2BF5E63}</author>
    <author>tc={B5E08E26-35FA-412F-821B-340A9235FFC8}</author>
  </authors>
  <commentList>
    <comment ref="A5" authorId="0" shapeId="0" xr:uid="{A24A2D70-ED4E-44AB-B5CC-4CE7AFC2F48A}">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D9" authorId="1" shapeId="0" xr:uid="{4AA4CE10-73FE-4646-8C7E-C1F0E2BF5E63}">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H9" authorId="2" shapeId="0" xr:uid="{B5E08E26-35FA-412F-821B-340A9235FFC8}">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List>
</comments>
</file>

<file path=xl/sharedStrings.xml><?xml version="1.0" encoding="utf-8"?>
<sst xmlns="http://schemas.openxmlformats.org/spreadsheetml/2006/main" count="1791" uniqueCount="725">
  <si>
    <t xml:space="preserve">1. View Name - </t>
  </si>
  <si>
    <t>IMPACT_OUTSTANDING_ACTIVITY_FACT_V</t>
  </si>
  <si>
    <t xml:space="preserve">Please read review comments on Table Functional Description, Data Type and Business Definition
</t>
  </si>
  <si>
    <r>
      <t>2. Table Name (</t>
    </r>
    <r>
      <rPr>
        <b/>
        <u/>
        <sz val="11"/>
        <rFont val="Calibri"/>
        <family val="2"/>
        <scheme val="minor"/>
      </rPr>
      <t>From DA Team</t>
    </r>
    <r>
      <rPr>
        <b/>
        <sz val="11"/>
        <rFont val="Calibri"/>
        <family val="2"/>
        <scheme val="minor"/>
      </rPr>
      <t>) -</t>
    </r>
  </si>
  <si>
    <t>IMP_OTSND_AVY_FACT</t>
  </si>
  <si>
    <t xml:space="preserve">3. View Schema Name - </t>
  </si>
  <si>
    <t>SSDS_DAL_OWNER</t>
  </si>
  <si>
    <t xml:space="preserve">4. Table Schema Name - </t>
  </si>
  <si>
    <t>TRANSACTIONS_OWNER</t>
  </si>
  <si>
    <t xml:space="preserve">5. Table Functional Description /Comment in Oracle/Redshift - </t>
  </si>
  <si>
    <t>This table contains taxlot recods which are closed and whose impact is already considered as realized gain/loss.</t>
  </si>
  <si>
    <t>BA Responsbility</t>
  </si>
  <si>
    <t>DA Responsibility</t>
  </si>
  <si>
    <t xml:space="preserve">6. Filter Criteria - </t>
  </si>
  <si>
    <t>None</t>
  </si>
  <si>
    <t>7. Grain - Please see Grain Columns sheet.</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</si>
  <si>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</si>
  <si>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</si>
  <si>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</si>
  <si>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</si>
  <si>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t>DA Comments to BA</t>
  </si>
  <si>
    <r>
      <t xml:space="preserve">Physical Name of Attribute (Name of column in Table)
</t>
    </r>
    <r>
      <rPr>
        <b/>
        <u/>
        <sz val="11"/>
        <rFont val="Calibri"/>
        <family val="2"/>
        <scheme val="minor"/>
      </rPr>
      <t>Supplied by DA Team</t>
    </r>
  </si>
  <si>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</si>
  <si>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</si>
  <si>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</si>
  <si>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</si>
  <si>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</si>
  <si>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</si>
  <si>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</si>
  <si>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</si>
  <si>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</si>
  <si>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</si>
  <si>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</si>
  <si>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On Table</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</si>
  <si>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</si>
  <si>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</si>
  <si>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</si>
  <si>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</si>
  <si>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</si>
  <si>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</si>
  <si>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</si>
  <si>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</si>
  <si>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IMPACT Outstanding Activity ID</t>
  </si>
  <si>
    <t xml:space="preserve">IMP_OTSND_AVY_FACT_ID                </t>
  </si>
  <si>
    <t>NUMBER(38,0)</t>
  </si>
  <si>
    <t>No</t>
  </si>
  <si>
    <t>NUMERIC(38,0)</t>
  </si>
  <si>
    <t>Sequencial Unique Identifier</t>
  </si>
  <si>
    <t>CCAL_REPL_OWNER</t>
  </si>
  <si>
    <t>IMP_OTSND_AVY</t>
  </si>
  <si>
    <t>IMP_OTSND_AVY_ID</t>
  </si>
  <si>
    <t>Receive  Deliver Type Code</t>
  </si>
  <si>
    <t xml:space="preserve">RCV_DLV_TP_CD                        </t>
  </si>
  <si>
    <t>VARCHAR2(4)</t>
  </si>
  <si>
    <t>Yes</t>
  </si>
  <si>
    <t>character varying(4)</t>
  </si>
  <si>
    <t xml:space="preserve"> Specifies the kind of transaction done by the trade.  Values:P  - Purchases S  - Sales  SRP- Opens of repurchases  BRP- Closes of repurchases BRV- Opens of reverse repurchasesSRV- Closes of reverse repurchases  BBC- Opens of borrows for cashSBC- Closes of borrows for cash  BBP- Opens of borrows for pledge SBP- Closes of borrows for pledgeSLC- Opens of loans for cash  BLC- Closes of loans for cash SLP- Opens of loans for pledgeBLP- Closes of loans for pledge  BPI- Opens of pledge in SPI- Closes of pledge inSPO- Opens of pledge outBPO- Closes of pledge out  SP - Partial pair-off (delivers exceed receives)BP - Partial pair-off (receives exceed delivers)BP - Full pair-offs (receives equal delivers)SM - Depository movement sell BM - Depository movement buy  SDP- Opens of dollar roll repurchases  BDP- Closes of dollar roll repurchases BDV- Opens of dollar roll reverse repurchasesSDV- Closes of dollar roll reverse repurchases  STP- Opens of tri-party repurchases BTP- Closes of tri-party repurchasesBTV- Opens of tri-party reverse repurchases  STV- Closes of tri-party reverse repurchases STO- Opens of tri-party pledges out BTO- Closes of tri-party pledges outBTI- Opens of tri-party pledges in  STI- Closes of tri-party pledges in BMO- Opens of money out SMO- Closes of money outSMI- Opens of money in  BMI- Closes of money in BIO- Opens of intra-firm loan outSIO- Closes of intra-firm loan out  SII- Opens of intra-firm loan in BII- Closes of intra-firm loan inBDO- Opens of depository loan outSDO- Closes of depository loan out  SDI- Opens of depository loan in BDI- Closes of depository loan inBFO- Opens of federal funds loan outSFO- Closes of federal funds loan out  SFI- Opens of federal funds loan in BFI- Closes of federal funds loan inFP - Fail of purchases  FS - Fail of salesFSRP  - Fail of opens of repurchasesFBRP  - Fail of closes of repurchases  FBRV  - Fail of opens of reverse repurchases FSRV  - Fail of closes of reverse repurchasesFBBC  - Fail of opens of borrows for cash FSBC  - Fail of closes of borrows for cashFBBP  - Fail of opens of borrows for pledge  FSBP  - Fail of closes of borrows for pledge FSLC  - Fail of opens of loans for cashFBLC  - Fail of closes of loans for cash  FSLP  - Fail of opens of loans for pledge FBLP  - Fail of closes of loans for pledgeFBPI  - Fail of opens of pledge in  FSPI  - Fail of closes of pledge in FSPO  - Fail of opens of pledge out FBPO  - Fail of closes of pledge outFSP- Fail of partial pairoff (delivers exceed receives)  FBP- Fail of partial pairoff (receives exceed delivers)  FSM- Fail of depository movement sell  FBM- Fail of depository movement buyFSDP  - Fail of opens of dollar roll repurchasesFBDP  - Fail of closes of dollar roll repurchases  FBDV  - Fail of opens of dollar roll reverse repurchases FSDV  - Fail of closes of dollar roll reverse repurchasesFSTP  - Fail of opens of tri-party repurchases  FBTP  - Fail of closes of tri-party repurchases FBTV  - Fail of opens of tri-party reverse repurchasesFSTV  - Fail of closes of tri-party reverse repurchases  FSTO  - Fail of opens of tri-party pledges out  FBTO  - Fail of closes of tri-party pledges out FBTI  - Fail of opens of tri-party pledges inFSTI  - Fail of closes of tri-party pledges in  FBMO  - Fail of opens of money out  FSMO  - Fail of closes of money out FSMI  - Fail of opens of money inFBMI  - Fail of closes of money in  FBIO  - Fail of opens of intra-firm loan out FSIO  - Fail of closes of intra-firm loan outFSII  - Fail of opens of intra-firm loan in  FBII  - Fail of closes of intra-firm loan in FBDO  - Fail of opens of depository loan out FSDO  - Fail of closes of depository loan outFSDI  - Fail of opens of depository loan in  FBDI  - Fail of closes of depository loan in FBFO  - Fail of opens of federal funds loan out FSFO  - Fail of closes of federal funds loan outFSFI  - Fail of opens of federal funds loan in  FBFI  - Fail of closes of federal funds loan inSD  - Consolidated Deliver Seg MovementSR  - Consolidated Receive Seg MovementXP  - FX Purchase Transaction.XS  - FX Sale Transaction.  SMB- Opens of Margin Cash BorrowsBMB- Closes of Margin Cash Borrows  SSB- Opens of Secured Cash Borrows  BSB- Closes of Secured Cash Borrows BML- Opens of Margin Cash Loans  SML- Closes of Margin Cash Loans BSL- Opens of Secured Cash Loans SSL- Closes of Secured Cash LoansFSMB  - Fail of opens of Margin Cash Borrows FBMB  - Fail of closes of Margin Cash BorrowsFSSB  - Fail of opens of Secured Cash BorrowsFBSB  - Fail of closes of Secured Cash Borrows  FBML  - Fail of opens of Margin Cash LoansFSML  - Fail of closes of Margin Cash Loans  FBSL  - Fail of opens of Secured Cash Loans  FSSL  - Fail of closes of Secured Cash Loans</t>
  </si>
  <si>
    <t>RCV_DLV_TP_CODE</t>
  </si>
  <si>
    <t>VARCHAR2(4 BYTE)</t>
  </si>
  <si>
    <t>Accrued Interest Amount</t>
  </si>
  <si>
    <t xml:space="preserve">ACR_INT_AMT                          </t>
  </si>
  <si>
    <t>NUMBER(38,6)</t>
  </si>
  <si>
    <t>NUMERIC(38,6)</t>
  </si>
  <si>
    <t xml:space="preserve"> The interest that has accrued from the last  interest payment date to the Settlement Date and that is part  of the total monies involved in a transaction or a position.</t>
  </si>
  <si>
    <t>ACR_INT_AMT</t>
  </si>
  <si>
    <t>Arbitrage Number</t>
  </si>
  <si>
    <t xml:space="preserve">ARB_NUM                              </t>
  </si>
  <si>
    <t>NUMBER(10,0)</t>
  </si>
  <si>
    <t>NUMERIC(10,0)</t>
  </si>
  <si>
    <t xml:space="preserve"> A number that uniquely identifies a sub profit center of a particular trader.  Arbitrage numbers are assigned  by the traders.</t>
  </si>
  <si>
    <t>ARB_NUM</t>
  </si>
  <si>
    <t>Customer Account number</t>
  </si>
  <si>
    <t xml:space="preserve">CST_AC_NUM                           </t>
  </si>
  <si>
    <t>VARCHAR2(12)</t>
  </si>
  <si>
    <t>character varying(12)</t>
  </si>
  <si>
    <t xml:space="preserve"> A unique account number used to identify  a customer account, as entered into the system.</t>
  </si>
  <si>
    <t>CST_AC_NUM</t>
  </si>
  <si>
    <t>VARCHAR2(12 BYTE)</t>
  </si>
  <si>
    <t>Transaction Price Amount</t>
  </si>
  <si>
    <t xml:space="preserve">TXN_PRC_AMT                          </t>
  </si>
  <si>
    <t>NUMBER(22,6)</t>
  </si>
  <si>
    <t>NUMERIC(22,6)</t>
  </si>
  <si>
    <t xml:space="preserve"> The original transaction price in calculable form in the dominant price format of the security.</t>
  </si>
  <si>
    <t>TXN_PRC</t>
  </si>
  <si>
    <t>Group Customer Account Number</t>
  </si>
  <si>
    <t xml:space="preserve">GRP_CST_AC_NUM                       </t>
  </si>
  <si>
    <t xml:space="preserve"> This field will contain a unique account number used to identify  a customer group account, as entered into the system.</t>
  </si>
  <si>
    <t>GRP_CST_AC_NUM</t>
  </si>
  <si>
    <t>Group Customer Name</t>
  </si>
  <si>
    <t xml:space="preserve">GRP_CST_NM                           </t>
  </si>
  <si>
    <t>VARCHAR2(30)</t>
  </si>
  <si>
    <t>character varying(30)</t>
  </si>
  <si>
    <t xml:space="preserve"> This field will contain the name given to a customer group  account, as entered into the system.</t>
  </si>
  <si>
    <t>GRP_CST_NM</t>
  </si>
  <si>
    <t>VARCHAR2(30 BYTE)</t>
  </si>
  <si>
    <t>Security Coupon Strike Price Amount</t>
  </si>
  <si>
    <t xml:space="preserve">SCR_CPN_STRK_PRC_AMT                 </t>
  </si>
  <si>
    <t xml:space="preserve"> A subfield of Key Security I.D. that is part of the key under  which an instrument will be stored in the files.</t>
  </si>
  <si>
    <t>SCR_CPN_STRK_PRC_AMT</t>
  </si>
  <si>
    <t>Security Primary Commodity Code</t>
  </si>
  <si>
    <t xml:space="preserve">SCR_PRIM_CMDTY_CD                    </t>
  </si>
  <si>
    <t xml:space="preserve"> A subfield of the Key Security I.D. used to designate the sort order of the Instrument.</t>
  </si>
  <si>
    <t>SCR_PRIM_CMDTY_CODE</t>
  </si>
  <si>
    <t>Maturity Date</t>
  </si>
  <si>
    <t xml:space="preserve">MAT_DT                               </t>
  </si>
  <si>
    <t>DATE</t>
  </si>
  <si>
    <t>Timestamp without time zone</t>
  </si>
  <si>
    <t xml:space="preserve"> A subfield Key Security ID that is part ofthe key under which an instrument will be stored in the files. It is divided into subfields in the following manner:  Years,  (Century, Year), Months and Days.</t>
  </si>
  <si>
    <t>MAT_DT</t>
  </si>
  <si>
    <t>Market Code</t>
  </si>
  <si>
    <t xml:space="preserve">MKT_CD                               </t>
  </si>
  <si>
    <t>NUMBER(3,0)</t>
  </si>
  <si>
    <t>NUMERIC(3,0)</t>
  </si>
  <si>
    <t xml:space="preserve"> A subfield of Key Security ID that is part of the  key under which an instrument will be stored in the files.</t>
  </si>
  <si>
    <t>MKT_CODE</t>
  </si>
  <si>
    <t>Pool Number</t>
  </si>
  <si>
    <t xml:space="preserve">POOL_NUM                             </t>
  </si>
  <si>
    <t>VARCHAR2(7)</t>
  </si>
  <si>
    <t>character varying(7)</t>
  </si>
  <si>
    <t xml:space="preserve"> A subfield of the Key Security I.D. used to  designate the sort order of the instrument.</t>
  </si>
  <si>
    <t>POOL_NUM</t>
  </si>
  <si>
    <t>VARCHAR2(7 BYTE)</t>
  </si>
  <si>
    <t>Instrument Type Code</t>
  </si>
  <si>
    <t xml:space="preserve">IMT_TP_CD                            </t>
  </si>
  <si>
    <t>VARCHAR2(3)</t>
  </si>
  <si>
    <t>character varying(3)</t>
  </si>
  <si>
    <t xml:space="preserve"> A subfield of Key Security I.D. that is part of the key  under which an instrument will be sorted in the files.</t>
  </si>
  <si>
    <t>IMT_TP_CODE</t>
  </si>
  <si>
    <t>VARCHAR2(3 BYTE)</t>
  </si>
  <si>
    <t>Principal Amount</t>
  </si>
  <si>
    <t xml:space="preserve">PNP_AMT                              </t>
  </si>
  <si>
    <t xml:space="preserve"> The principal dollars involved in a transaction or a position.  It is calculated in accordance with the  principal calculations defined in the Processing Guidelines section of the Functional Specifications for the system.</t>
  </si>
  <si>
    <t>PNP_AMT</t>
  </si>
  <si>
    <t>Settlement Date</t>
  </si>
  <si>
    <t xml:space="preserve">SD                                   </t>
  </si>
  <si>
    <t xml:space="preserve"> The date on which a trade is to settle.</t>
  </si>
  <si>
    <t>SD</t>
  </si>
  <si>
    <t>Return Date</t>
  </si>
  <si>
    <t xml:space="preserve">RET_DT                               </t>
  </si>
  <si>
    <t xml:space="preserve"> This is the date on which the a financing agreement is to end.</t>
  </si>
  <si>
    <t>RET_DT</t>
  </si>
  <si>
    <t>Trader Id</t>
  </si>
  <si>
    <t xml:space="preserve">TRDR_ID                              </t>
  </si>
  <si>
    <t xml:space="preserve"> A field containing an alphanumeric entry that identifies a trader to the system. AAA</t>
  </si>
  <si>
    <t>TRDR_ID</t>
  </si>
  <si>
    <t>Transaction Date</t>
  </si>
  <si>
    <t xml:space="preserve">TXN_DT                               </t>
  </si>
  <si>
    <t xml:space="preserve"> A date in internal format that is the date onwhich a transaction was done.</t>
  </si>
  <si>
    <t>TXN_DT</t>
  </si>
  <si>
    <t>Transaction Amount</t>
  </si>
  <si>
    <t xml:space="preserve">TXN_AMT                              </t>
  </si>
  <si>
    <t xml:space="preserve"> The face amount transacted of an instrument.  Entered on the TEX screen and stored in files in  normalized form.  Decimal points or slashes will be aligned for each security based on the attribute of the security.It was decided , due to output space limitations, that nocommas would be inserted in these fields.  Therefore no output editing should be done on these fields before they are displayed.</t>
  </si>
  <si>
    <t>TXN_AMT</t>
  </si>
  <si>
    <t>Transaction Number</t>
  </si>
  <si>
    <t xml:space="preserve">TXN_NUM                              </t>
  </si>
  <si>
    <t xml:space="preserve"> A number generated by the system which uniquely describes a transaction of a particular date.</t>
  </si>
  <si>
    <t>TXN_NUM</t>
  </si>
  <si>
    <t>Security Price</t>
  </si>
  <si>
    <t xml:space="preserve">SCR_PRC                              </t>
  </si>
  <si>
    <t xml:space="preserve"> The price at which a transaction is executed.Entered on the TEX screen and normalized for storage in the files.Decimal points or slashes will be aligned for each security based on the attribute of the security.  It was decided due to output space limitations, that no commas would be inserted in  these fields.  Therefore no output editing should be done onthese fields before they are displayed.</t>
  </si>
  <si>
    <t>SCR_PRC</t>
  </si>
  <si>
    <t>Cancel / Revise Code</t>
  </si>
  <si>
    <t xml:space="preserve">CNCL_REVISE_CD                       </t>
  </si>
  <si>
    <t xml:space="preserve"> This field will contain a value to indicate if the transaction is a cancel, offset or in the case of afinancing trade a returning.  Allowable values are:  CAN - This value indicates that the transaction hasbeen canceled before verification.  CXL - This value indicates that the transaction hasbeen revised or canceled after verification. CXR - This value indicates that the transaction is a rebill of a previous transaction and that  the rebill itself has been revised or canceled. OFF - This value indicates that the transaction is an offset of a transaction that has been revisedor canceled.OFR - This value indicates that the transaction is an offset of a rebill that has been revised  or canceled.RBL - This value indicates that the transaction is a  rebill of a transaction that has been revised.  RTN - This value indicates a piece of collateralhas been returned during the term of a deal. ADJ - The fail penalty has been adjusted. WAV - The fail penalty has been waived.</t>
  </si>
  <si>
    <t>CNCL_X_REV_CODE</t>
  </si>
  <si>
    <t>Finance Rate</t>
  </si>
  <si>
    <t xml:space="preserve">FNC_RATE                             </t>
  </si>
  <si>
    <t xml:space="preserve"> The calculable form of the Finance Rate as entered through any of the financing entry functions (RPs, RVs, borrows, loans, etc...).</t>
  </si>
  <si>
    <t>FNC_RATE</t>
  </si>
  <si>
    <t>IMPACT FA Number</t>
  </si>
  <si>
    <t xml:space="preserve">IMP_FA_NUM                           </t>
  </si>
  <si>
    <t xml:space="preserve"> This field will contain a code that will identify the salesperson associated with a trade or a customer account.</t>
  </si>
  <si>
    <t>IMP_NUM_FA</t>
  </si>
  <si>
    <t>Customer IMPACT FA Number</t>
  </si>
  <si>
    <t xml:space="preserve">CST_IMP_FA_NUM                       </t>
  </si>
  <si>
    <t xml:space="preserve"> This field will contain the code of the customer's salesperson in extracts were it needs to be distinguishedfrom other salesperson's codes.</t>
  </si>
  <si>
    <t>CST_IMP_NUM_FA</t>
  </si>
  <si>
    <t>Outstanding Activity Sort Code</t>
  </si>
  <si>
    <t xml:space="preserve">OTSND_AVY_SORT_CD                    </t>
  </si>
  <si>
    <t xml:space="preserve"> This field is used to properly sort records of the Outstanding Activity Extract File for the Quarterly Confirmation statements.  The following values are used:10 - Purchase  20 - Sale30 - Sell of Repurchase 40 - Buy of Reverse  50 - Buy of Borrow for Pledge 60 - Buy of Borrow for Cash70 - Sell of Loan for Pledge  80 - Sell of Loan for Cash 90 - Buy of Pledged In Securities  100 - Sell of Pledged Out Securities110 - Fail of Sell of Repurchase 120 - Fail of Buy of Resale130 - Fail of Buy of Borrow for Pledge 140 - Fail of Buy of Borrow for Cash150 - Fail of Sell of Loan for Pledge  160 - Fail of Sell of Loan for Cash 170 - Fail of Buy of Pledged In Securities180 - Fail of Sell of Pledged Out Securities 190 - Fail of Buy of Repurchase  200 - Fail of Sell of Resale  210 - Fail of Sell of Borrow for Pledge220 - Fail of Sell of Borrow for Cash  230 - Fail of Buy of Loan for Pledge240 - Fail of Buy of Loan for Cash  250 - Fail of Sell of Pledged In Securities  260 - Fail of Buy of Pledged Out Securities  270 - Fail of Purchase  280 - Fail of Buy of Partial Pairoff290 - Fail of Sale300 - Fail of Sell of Partial Pairoff  310 - Depository Movement Sell320 - Depository Movement Buy 330 - Fail of Depository Movement Sell 340 - Fail of Depository Movement Buy</t>
  </si>
  <si>
    <t>OTSND_AVY_SORT_CODE</t>
  </si>
  <si>
    <t>Cleared Amount</t>
  </si>
  <si>
    <t xml:space="preserve">CLRD_AMT                             </t>
  </si>
  <si>
    <t xml:space="preserve"> Security Position of a trade removed from fail status since the settlement date.</t>
  </si>
  <si>
    <t>CLRD_AMT</t>
  </si>
  <si>
    <t>Effective Start of Day Fail Amount</t>
  </si>
  <si>
    <t xml:space="preserve">EFF_STRT_OF_DAY_FAIL_AMT             </t>
  </si>
  <si>
    <t xml:space="preserve"> Amount in Fail Status as of Start of Day.</t>
  </si>
  <si>
    <t>EFF_STRT_OF_DAY_FAIL_AMT</t>
  </si>
  <si>
    <t>Fail Adjustment Amount</t>
  </si>
  <si>
    <t xml:space="preserve">FAIL_ADJ_AMT                         </t>
  </si>
  <si>
    <t xml:space="preserve"> Contains the amount by which the Fail Amount as of Settlement  of trade has been adjusted today.</t>
  </si>
  <si>
    <t>FAIL_ADJ_AMT</t>
  </si>
  <si>
    <t>Transaction Reason Code</t>
  </si>
  <si>
    <t xml:space="preserve">TXN_RSN_CD                           </t>
  </si>
  <si>
    <t>VARCHAR2(1)</t>
  </si>
  <si>
    <t>character varying(1)</t>
  </si>
  <si>
    <t xml:space="preserve"> This field will contain a value to identify a variety of special types of transactions and will be displayedas entered through Transaction Entry (TEX).  The possible values are:  0 - Offsetting customer transaction, which is a result of Flip Trade Processing  1 - Agency transaction, which is result of Flip Trade  Processing 2 - SafeKeeping transaction, which is result of Flip Trade  3 - Offset Finance Transaction, generated as result of a CDS Collateral Substitution as an offsetto the substituted transaction. 4 - Flip trade is generated as a result of Sub Entity Flip P5 - Flip trade is generated as a result of Sub Entity Flipfor the flip type 'AH' 6 - Flipped trades generated resultant of MBS Flip Rulefor the flip type 'MF' 7 - Flip Trade reflecting Buy or Sell between Affiliates 8 - Inter Dealer Broker(IDB)trade reflecting Buy or Sell between AffiliatesA - The transaction is a result of reorg. activity for a security and P&amp;L adjustment.  B - The transaction has been entered to "bust" (i.e.,  wipe out) a futures position due to delivery or an option position due to exercise.  This is an off-  setting transaction, not an actual trade.  Applicable only to futures and options transactions.C - The transaction is a purchase for a customer of security from the treasury.  D - Indicates that the transaction is the result of de-livery against a futures contract (i.e., the trans-action is a disbursement or receipt of a cash se-  curity as delivery against a futures contract). Only applicable to a cash transaction.E - Indicates receipt or disbursement of a futures posi-  tion due to option exercise.  Applicable only tofutures transactions.  F - The transaction is a result of reorg. activity  fora security.G - TBA Giveup H - The transaction is an inter-dealer regulatory trade(IDRO) and should be sent only to MSRB.  Submission toNSCC is suppressed. I - The transaction is a purchase of a Cash Treasuryallotment, purchased in an auction.  It is tobe entered into the system on the first businessday after the auction. J - The transaction is a Treasury buy back by the Treasuryand valid on sale transaction only K - This transaction is a placment of commercial paper and will be included on the Outstanding Commercial Paper Report. L - This indicates that the transaction was entered to track Lower of Cost or Market accounting.M - The transaction is a redemption of a maturing security. N - TBA NetoutsO - Similar to "B" in the case of options.  The trans- action has been entered to wipe out an option posi-tion due to option expiration.  Applicable only to options transactions.  P - The transaction has been added to strip the Position  of a prior trade with a security that has been stripped.Q - Inter-Office transaction, which is result of Flip Trade  Processing.R - This transaction is a rebill of a transactionfrom a previous day.S - TBA AllocationT - The transaction is an Intracompany Transfer.U - The transaction hasbeen entered to reconstitute theposition of prior trades with stripped securities.V - Prime Broking transaction, which is result of Flip Trade Processing.W - The Muni transaction will be sent to NSCC forComparison/Matching, but not to MSRB RTRS forRegulatory Reporting.  X - The transaction will be suppressed from BPS trade, bookkeeping and clearance feeds.Y - Affiliate/Clearing Agent transaction, which is result of Flip Trade Processing. Z - TBA Assignment[ - Sponsored Repo Destination Trade which is created via FTRE rule.</t>
  </si>
  <si>
    <t>TXN_RSN_CODE</t>
  </si>
  <si>
    <t>VARCHAR2(1 BYTE)</t>
  </si>
  <si>
    <t>Journal Instruction Override Flag</t>
  </si>
  <si>
    <t xml:space="preserve">JRNL_INSR_OVRD_F                     </t>
  </si>
  <si>
    <t xml:space="preserve"> This field will contain a value to indicate whether or not the journal instructions for a transaction have been overridden.Possible values are as follows: ' ' - This value indicates that the instructionshave not been overridden.  'Y' - This value indicates that the instructionshave been overridden.</t>
  </si>
  <si>
    <t>JRNL_INSR_OVRD_F</t>
  </si>
  <si>
    <t>Transaction Commission Amount</t>
  </si>
  <si>
    <t xml:space="preserve">TXN_CMSN_AMT                         </t>
  </si>
  <si>
    <t xml:space="preserve"> This field will contain the total commission charged on atransaction.</t>
  </si>
  <si>
    <t>TXN_CMSN_AMT</t>
  </si>
  <si>
    <t>Depository Account Number</t>
  </si>
  <si>
    <t xml:space="preserve">DEPST_AC_NUM                         </t>
  </si>
  <si>
    <t>VARCHAR2(6)</t>
  </si>
  <si>
    <t>character varying(6)</t>
  </si>
  <si>
    <t xml:space="preserve"> Account number of Firm's Clearing Bank.</t>
  </si>
  <si>
    <t>DEPST_AC_NUM</t>
  </si>
  <si>
    <t>Customer Account Name</t>
  </si>
  <si>
    <t xml:space="preserve">CST_AC_NM                            </t>
  </si>
  <si>
    <t xml:space="preserve"> This field will contain the name given to a customer account,  as entered into the system.</t>
  </si>
  <si>
    <t>CST_AC_NM</t>
  </si>
  <si>
    <t>Security Name</t>
  </si>
  <si>
    <t xml:space="preserve">SCR_NM                               </t>
  </si>
  <si>
    <t>VARCHAR2(31)</t>
  </si>
  <si>
    <t>character varying(31)</t>
  </si>
  <si>
    <t xml:space="preserve"> This will contain the freeform name of a given  security as it will be shown on screens and reports.</t>
  </si>
  <si>
    <t>SCR_NM</t>
  </si>
  <si>
    <t>VARCHAR2(31 BYTE)</t>
  </si>
  <si>
    <t>Outstanding Date</t>
  </si>
  <si>
    <t xml:space="preserve">OTSND_DT                             </t>
  </si>
  <si>
    <t xml:space="preserve"> This field will contain the expected date on which an outstanding transaction will terminate.</t>
  </si>
  <si>
    <t>OTSND_DT</t>
  </si>
  <si>
    <t>Finance Interest To Date Amount</t>
  </si>
  <si>
    <t xml:space="preserve">FNC_INT_TO_DT_AMT                    </t>
  </si>
  <si>
    <t xml:space="preserve"> This field will contain the finance interest from open date to the next business date for a financing transaction.</t>
  </si>
  <si>
    <t>FNC_INT_TO_DT_AMT</t>
  </si>
  <si>
    <t>Open Flag</t>
  </si>
  <si>
    <t xml:space="preserve">OPN_F                                </t>
  </si>
  <si>
    <t xml:space="preserve"> Indicates on screens whether the open or close side of a finance trade is desired. Values: 'O', 'C'.</t>
  </si>
  <si>
    <t>OPN_F</t>
  </si>
  <si>
    <t>USD Margin Amount</t>
  </si>
  <si>
    <t xml:space="preserve">USD_MRGN_AMT                         </t>
  </si>
  <si>
    <t xml:space="preserve"> This field contains the dollar amount by which the financing transaction is over- or under-margined and  by how much.  In YAPFILEP this field is in Base Currency.</t>
  </si>
  <si>
    <t>USD_MRGN_AMT</t>
  </si>
  <si>
    <t>Margin Percent</t>
  </si>
  <si>
    <t xml:space="preserve">MRGN_PCT                             </t>
  </si>
  <si>
    <t xml:space="preserve"> This field contains a percentage value to indicate whether  the financing transaction if over- or under-margined and by how much.</t>
  </si>
  <si>
    <t>MRGN_PCT</t>
  </si>
  <si>
    <t>Accrued Interest To Date Amount</t>
  </si>
  <si>
    <t xml:space="preserve">ACR_INT_TO_DT_AMT                    </t>
  </si>
  <si>
    <t xml:space="preserve"> The interest that has accrued from the last  interest payment Date to the Next Business Date and that is part  of the total monies involved in a transaction or a position.In YAPFILEP this field is in Base Currency.</t>
  </si>
  <si>
    <t>ACR_INT_TO_DT_AMT</t>
  </si>
  <si>
    <t>Trade Principal with Accrued Interest Amount</t>
  </si>
  <si>
    <t xml:space="preserve">TRD_PNP_W_ACR_INT_AMT                </t>
  </si>
  <si>
    <t xml:space="preserve"> This field will contain the sum of the Trade Principal and  the coupon interest accrued between the last coupon payment date and the next business date.  It is calculated daily.</t>
  </si>
  <si>
    <t>TRD_PNP_W_ACR_INT_AMT</t>
  </si>
  <si>
    <t>Collateral Value</t>
  </si>
  <si>
    <t xml:space="preserve">CLTRL_VAL                            </t>
  </si>
  <si>
    <t xml:space="preserve"> Contains the Market Value of the security and the accruedinterest to the next business date for a trade. In YAPFILEP this field is in Base Currency.</t>
  </si>
  <si>
    <t>CLR_VAL</t>
  </si>
  <si>
    <t>Market Value</t>
  </si>
  <si>
    <t xml:space="preserve">MKT_VAL                              </t>
  </si>
  <si>
    <t xml:space="preserve"> Contains the Mark to Market Value of a trade.In YAPFILEP this field is in Base Currency.</t>
  </si>
  <si>
    <t>MKT_VAL</t>
  </si>
  <si>
    <t>Finance Excess / Deficit Flag</t>
  </si>
  <si>
    <t xml:space="preserve">FNC_EXS_DEFICIT_F                    </t>
  </si>
  <si>
    <t xml:space="preserve"> This field will contain a value to indicate whether or not acustomer should be included on the Financing Excess/Deficit Report.</t>
  </si>
  <si>
    <t>FNC_EXS_X_DEF_F</t>
  </si>
  <si>
    <t>Foreign Customer Country Code</t>
  </si>
  <si>
    <t xml:space="preserve">FRGN_CST_CTRY_CD                     </t>
  </si>
  <si>
    <t>NUMBER(5,0)</t>
  </si>
  <si>
    <t>NUMERIC(5,0)</t>
  </si>
  <si>
    <t xml:space="preserve"> This field will contain a code indicating which foreign country a customer is associated with, if any.A codes are listed on FRB form S.</t>
  </si>
  <si>
    <t>FRGN_CST_CTRY_CODE</t>
  </si>
  <si>
    <t>Broker Dealer Sort Type Code</t>
  </si>
  <si>
    <t xml:space="preserve">BD_SORT_TP_CD                        </t>
  </si>
  <si>
    <t xml:space="preserve"> A value used to sort the Outstanding Activity Extract.</t>
  </si>
  <si>
    <t>BD_SORT_TP_CODE</t>
  </si>
  <si>
    <t>Principal Paydown Flag</t>
  </si>
  <si>
    <t xml:space="preserve">PNP_PAYDOWN_F                        </t>
  </si>
  <si>
    <t>NUMBER(1,0)</t>
  </si>
  <si>
    <t>NUMERIC(1,0)</t>
  </si>
  <si>
    <t xml:space="preserve"> Identifies a security that pays down principal on a periodic basis.  Values:  " " or "0": Security does not paydown.  "1": Security may paydown periodically."2": Security pays down principal based on the valuesentered in the Paydown Date and Paydown Code fields."3": Off Cycle Paydown Security.User will not be able to revise/create a security  with paydown flag as 'A'."4": Sinkable Funding Security.  "5": Off Cycle Paydown Without Coupon.Applicable only for FRUP entries.</t>
  </si>
  <si>
    <t>PNP_PYDN_F</t>
  </si>
  <si>
    <t>Receive  Deliver Direction Code</t>
  </si>
  <si>
    <t xml:space="preserve">RCV_DLV_DRC_CD                       </t>
  </si>
  <si>
    <t xml:space="preserve"> Indicates security movement - receive or deliver.  Values: 'R', 'D'</t>
  </si>
  <si>
    <t>RCV_DLV_DRC_CODE</t>
  </si>
  <si>
    <t>Return Date Sort Flag</t>
  </si>
  <si>
    <t xml:space="preserve">RET_DT_SORT_F                        </t>
  </si>
  <si>
    <t xml:space="preserve"> Field of multiple extract files used for sorting different types  of trades by Return Date Status. Values permitted:  ' ' - Trade is Failed'1' - Trade is Open</t>
  </si>
  <si>
    <t>RET_DT_SORT_F</t>
  </si>
  <si>
    <t>Broker Account Number</t>
  </si>
  <si>
    <t xml:space="preserve">BKR_AC_NUM                           </t>
  </si>
  <si>
    <t xml:space="preserve"> A unique account number used to identify  a broker account, as entered into the system.</t>
  </si>
  <si>
    <t>BKR_AC_NUM</t>
  </si>
  <si>
    <t>Expiration Date</t>
  </si>
  <si>
    <t xml:space="preserve">EXP_DT                               </t>
  </si>
  <si>
    <t xml:space="preserve"> The actual Expiration Date of a future or option contract.</t>
  </si>
  <si>
    <t>EXP_DT</t>
  </si>
  <si>
    <t>Contract Face Value</t>
  </si>
  <si>
    <t xml:space="preserve">CTR_FACE_VAL                         </t>
  </si>
  <si>
    <t xml:space="preserve"> For Futures and Options, the number of commodity units per contract or the face value of the security future per contract.  For cash securities, it is assumed to equal 1.</t>
  </si>
  <si>
    <t>CTR_FACE_VAL</t>
  </si>
  <si>
    <t>Current Pool Factor Rate</t>
  </si>
  <si>
    <t xml:space="preserve">CRN_POOL_FCTR_RATE                   </t>
  </si>
  <si>
    <t>NUMBER(11,8)</t>
  </si>
  <si>
    <t>NUMERIC(11,8)</t>
  </si>
  <si>
    <t xml:space="preserve"> This field will contain the current pool factor for a given security.</t>
  </si>
  <si>
    <t>CRN_POOL_FCTR_RATE</t>
  </si>
  <si>
    <t>Margin Principal Amount</t>
  </si>
  <si>
    <t xml:space="preserve">MRGN_PNP_AMT                         </t>
  </si>
  <si>
    <t xml:space="preserve"> This field will contain the trade principal used for the Trade Margin Report and the calculation of margin money. In YAPFILEP this field is in Base Currency.</t>
  </si>
  <si>
    <t>MRGN_PNP_AMT</t>
  </si>
  <si>
    <t>Month To Date Finance Interest Amount</t>
  </si>
  <si>
    <t xml:space="preserve">MTD_FNC_INT_AMT                      </t>
  </si>
  <si>
    <t xml:space="preserve"> This field will contain the month to date finance interest for financing transaction.</t>
  </si>
  <si>
    <t>MTD_FNC_INT_AMT</t>
  </si>
  <si>
    <t>Finance Interest Direction Code</t>
  </si>
  <si>
    <t xml:space="preserve">FNC_INT_DRC_CD                       </t>
  </si>
  <si>
    <t xml:space="preserve"> This field will contain the direction of the interest for a type of finance transaction.  Possible values are as follows: 'I' - This value indicates that the Interest is an Income.  'E' - This value indicates that the Interest is an Expense.</t>
  </si>
  <si>
    <t>FNC_INT_DRC_CODE</t>
  </si>
  <si>
    <t>Finance Totals Type Code</t>
  </si>
  <si>
    <t xml:space="preserve">FNC_TOTALS_TP_CD                     </t>
  </si>
  <si>
    <t>VARCHAR2(2)</t>
  </si>
  <si>
    <t>character varying(2)</t>
  </si>
  <si>
    <t xml:space="preserve"> This is a code that will enable different Finance Types to be  totalled together or separately for reporting purposes. Currentusage is to total DP/DV (Dollar Rolls) trades with RV/RP trades.</t>
  </si>
  <si>
    <t>FNC_TOT_TP_CODE</t>
  </si>
  <si>
    <t>VARCHAR2(2 BYTE)</t>
  </si>
  <si>
    <t>File Code</t>
  </si>
  <si>
    <t xml:space="preserve">FILE_CD                              </t>
  </si>
  <si>
    <t>'T' - Transaction 'F' - Financing'B' - Borrow/Loan/Pledge'P' - Pairoff  'R' - Tri-Party This field will contain a value to indicate whatfile a record is from.</t>
  </si>
  <si>
    <t>FILE_CODE</t>
  </si>
  <si>
    <t>Financing Group Type C ode</t>
  </si>
  <si>
    <t xml:space="preserve">FNC_GRP_TP_CD                        </t>
  </si>
  <si>
    <t xml:space="preserve"> This is financing group that the finance type belongs to for select/ omit processing on logical files.Values:'B' - Borrow/Loan/Pledge Group'F' - Finance Group</t>
  </si>
  <si>
    <t>FNC_GRP_TP_C_ODE</t>
  </si>
  <si>
    <t>Today Mark To Market Value</t>
  </si>
  <si>
    <t xml:space="preserve">TODAY_MARK_TO_MKT_VAL                </t>
  </si>
  <si>
    <t xml:space="preserve"> The mark to market for the day on all trades with an  outstanding committed amount. Calculated after  End of day committed matching has been completed.</t>
  </si>
  <si>
    <t>TDY_MARK_TO_MKT_VAL</t>
  </si>
  <si>
    <t>Accounting Type Code</t>
  </si>
  <si>
    <t xml:space="preserve">ACG_TP_CD                            </t>
  </si>
  <si>
    <t xml:space="preserve"> A code that will cross-reference a security to its journal  instructions.</t>
  </si>
  <si>
    <t>ACG_TP_CODE</t>
  </si>
  <si>
    <t>Security Currency Code</t>
  </si>
  <si>
    <t xml:space="preserve">SCR_CCY_CD                           </t>
  </si>
  <si>
    <t xml:space="preserve"> This field will contain a value to identify the currency in which a security is denominated.</t>
  </si>
  <si>
    <t>SCR_CCY_CODE</t>
  </si>
  <si>
    <t>Settlement Currency Code</t>
  </si>
  <si>
    <t xml:space="preserve">SETL_CCY_CD                          </t>
  </si>
  <si>
    <t xml:space="preserve"> This field will contain a value to identify the currency in which a transaction is to be settled.</t>
  </si>
  <si>
    <t>SETL_CCY_CODE</t>
  </si>
  <si>
    <t>Spot Exchange Rate</t>
  </si>
  <si>
    <t xml:space="preserve">SPOT_EXG_RATE                        </t>
  </si>
  <si>
    <t>NUMBER(23,9)</t>
  </si>
  <si>
    <t xml:space="preserve"> This field will contain the Spot Exchange Rate for multi-currency processing.</t>
  </si>
  <si>
    <t>SPOT_EXG_RATE</t>
  </si>
  <si>
    <t>Finance Accrual Code</t>
  </si>
  <si>
    <t xml:space="preserve">FNC_ACR_CD                           </t>
  </si>
  <si>
    <t xml:space="preserve"> This field will contain a value to indicate the day count and  year basis to be used to calculate finance interest on a trade.</t>
  </si>
  <si>
    <t>FNC_ACR_CODE</t>
  </si>
  <si>
    <t>Physical  Wireable Flag</t>
  </si>
  <si>
    <t xml:space="preserve">PHYS_WIREABLE_F                      </t>
  </si>
  <si>
    <t xml:space="preserve"> This field will contain a value to indicate whether a transaction is to be physically cleared or over the wire.</t>
  </si>
  <si>
    <t>PHYS_WIRE_F</t>
  </si>
  <si>
    <t>International / Domestic Code</t>
  </si>
  <si>
    <t xml:space="preserve">ITNL_DMST_CD                         </t>
  </si>
  <si>
    <t xml:space="preserve"> This field will indicate how the security is going to settle.  Valid values are as follows: 'D' - Domestic Settlement' ', 'I' - International Settlement</t>
  </si>
  <si>
    <t>ITNL_X_DMST_CODE</t>
  </si>
  <si>
    <t>Borrow / Loan Fee Frequency Code</t>
  </si>
  <si>
    <t xml:space="preserve">BRW_LOAN_FEE_FRQ_CD                  </t>
  </si>
  <si>
    <t xml:space="preserve"> Indicates whether the fee on  a borrow or loan is a one time charge or per day. NOTE: For future use.</t>
  </si>
  <si>
    <t>BWR_X_LOAN_FEE_FRQ_CODE</t>
  </si>
  <si>
    <t>Fail Principal Amount</t>
  </si>
  <si>
    <t xml:space="preserve">FAIL_PNP_AMT                         </t>
  </si>
  <si>
    <t xml:space="preserve"> This field will contain an adjustment to  the principal on a transaction because a portion of the transaction  was not delivered or received.</t>
  </si>
  <si>
    <t>FAIL_PNP_AMT</t>
  </si>
  <si>
    <t>Fail Interest Amount</t>
  </si>
  <si>
    <t xml:space="preserve">FAIL_INT_AMT                         </t>
  </si>
  <si>
    <t xml:space="preserve"> This field will contain an adjustment to  the interest on a transaction because a portion of the transaction was  not delivered or received.</t>
  </si>
  <si>
    <t>FAIL_INT_AMT</t>
  </si>
  <si>
    <t>Current Fail USD Amount</t>
  </si>
  <si>
    <t xml:space="preserve">CRN_FAIL_USD_AMT                     </t>
  </si>
  <si>
    <t xml:space="preserve"> The money for a transaction that wasnot received or delivered.</t>
  </si>
  <si>
    <t>CRN_FAIL_USD_AMT</t>
  </si>
  <si>
    <t>Cleared Fail USD Amount</t>
  </si>
  <si>
    <t xml:space="preserve">CLRD_FAIL_USD_AMT                    </t>
  </si>
  <si>
    <t xml:space="preserve"> This field will contain the amount of the Fail Dollars as ofSettlement of a trade that has been cleared to date.</t>
  </si>
  <si>
    <t>CLRD_FAIL_USD_AMT</t>
  </si>
  <si>
    <t>Start Of Day Fail USD Amount</t>
  </si>
  <si>
    <t xml:space="preserve">STRT_OF_DAY_FAIL_USD_AMT             </t>
  </si>
  <si>
    <t xml:space="preserve"> This field will contain the money for a transaction that wasnot received or delivered as of the beginning of the business date.</t>
  </si>
  <si>
    <t>STRT_OF_DAY_FAIL_USD_AMT</t>
  </si>
  <si>
    <t>Fail Adjustment USD Amount</t>
  </si>
  <si>
    <t xml:space="preserve">FAIL_ADJ_USD_AMT                     </t>
  </si>
  <si>
    <t xml:space="preserve"> This field will contain the amount by which the Fail Dollarsas of Settlement of a trade have been adjusted today.</t>
  </si>
  <si>
    <t>FAIL_ADJ_USD_AMT</t>
  </si>
  <si>
    <t>System Base Currency Exchange Rate</t>
  </si>
  <si>
    <t xml:space="preserve">SBC_EXG_RATE                         </t>
  </si>
  <si>
    <t>NUMERIC(23,9)</t>
  </si>
  <si>
    <t xml:space="preserve"> The exchange rate between the security currency and the base currency of the system.</t>
  </si>
  <si>
    <t>SBC_EXG_RATE</t>
  </si>
  <si>
    <t>Ex dividend Flag</t>
  </si>
  <si>
    <t xml:space="preserve">EX_DVDN_F                            </t>
  </si>
  <si>
    <t xml:space="preserve"> This field will indicate whether the security was traded ex-dividend or with dividend.  Valid values are:  ' ' or '0' - Indicates traded with dividend  '1'  - Indicates traded Ex-dividend</t>
  </si>
  <si>
    <t>EX_DVDN_F</t>
  </si>
  <si>
    <t>Cusip Number</t>
  </si>
  <si>
    <t xml:space="preserve">CUSIP_NUM                            </t>
  </si>
  <si>
    <t>VARCHAR2(9)</t>
  </si>
  <si>
    <t>character varying(19)</t>
  </si>
  <si>
    <t xml:space="preserve"> This field will contain a letter/number combinationidentifier unique to each security.</t>
  </si>
  <si>
    <t>CUSIP_NUM</t>
  </si>
  <si>
    <t>VARCHAR2(9 BYTE)</t>
  </si>
  <si>
    <t>ISIN</t>
  </si>
  <si>
    <t xml:space="preserve">ISIN                                 </t>
  </si>
  <si>
    <t xml:space="preserve"> This field will contain the ISIN number for a particular security.</t>
  </si>
  <si>
    <t>Firm Trade Capacity Code</t>
  </si>
  <si>
    <t xml:space="preserve">FIRM_TRD_CPCTY_CD                    </t>
  </si>
  <si>
    <t xml:space="preserve"> Indicates part played by Commercial Bank.</t>
  </si>
  <si>
    <t>FIRM_TRD_CPCTY_CODE</t>
  </si>
  <si>
    <t>Customer Trade Capacity Code</t>
  </si>
  <si>
    <t xml:space="preserve">CST_TRD_CPCTY_CD                     </t>
  </si>
  <si>
    <t xml:space="preserve"> This field will contain the value in the Principal/Agent Flag  for the customer of a trade.</t>
  </si>
  <si>
    <t>CST_TRD_CPCTY_CODE</t>
  </si>
  <si>
    <t>Collateral Value With Haircut Amount</t>
  </si>
  <si>
    <t xml:space="preserve">CLTRL_VAL_W_HRCT_AMT                 </t>
  </si>
  <si>
    <t xml:space="preserve"> This Collateral Value is calculated as: P + I where P - Market Value of the security--------------  I - Accrued Interest to next business 1 + (HC / 100)dateHC - Haircut (as a signed value) In YAPFILEP this field is in Base Currency.</t>
  </si>
  <si>
    <t>CLR_VAL_W_HRCT_AMT</t>
  </si>
  <si>
    <t>Margin With Haircut USD Amount</t>
  </si>
  <si>
    <t xml:space="preserve">MRGN_W_HRCT_USD_AMT                  </t>
  </si>
  <si>
    <t xml:space="preserve"> This field contains the dollar amount by which the financing transaction is over- or under-margined and  by how much.  The haircut was included in the calculation ofCollateral Value. In YAPFILEP this field is in Base Currency.</t>
  </si>
  <si>
    <t>MRGN_W_HRCT_USD_AMT</t>
  </si>
  <si>
    <t>Margin Percent With Haircut Rate</t>
  </si>
  <si>
    <t xml:space="preserve">MRGN_PCT_W_HRCT_RATE                 </t>
  </si>
  <si>
    <t xml:space="preserve"> This field contains a percentage value to indicate whether  the financing transaction if over- or under-margined and by how much.  The Haircut was included in the calculation ofCollateral Value.</t>
  </si>
  <si>
    <t>MRGN_PCT_W_HRCT_RATE</t>
  </si>
  <si>
    <t>Calculated Haircut Flag</t>
  </si>
  <si>
    <t xml:space="preserve">CALC_HRCT_F                          </t>
  </si>
  <si>
    <t xml:space="preserve"> This field will contain a flag to indicate whether the haircut was system-calculated or user-entered.  ' ', '0' - Haircut was entered by the user  '1' - Haircut was calculated by the system</t>
  </si>
  <si>
    <t>CLC_HRCT_F</t>
  </si>
  <si>
    <t>Haircut rate</t>
  </si>
  <si>
    <t xml:space="preserve">HRCT_RATE                            </t>
  </si>
  <si>
    <t>NUMBER(9,5)</t>
  </si>
  <si>
    <t>NUMERIC(9,5)</t>
  </si>
  <si>
    <t xml:space="preserve"> This field contains the calcualbe haircut percentage.</t>
  </si>
  <si>
    <t>HRCT_RATE</t>
  </si>
  <si>
    <t>As of Trade Date</t>
  </si>
  <si>
    <t xml:space="preserve">ASOF_TD                              </t>
  </si>
  <si>
    <t xml:space="preserve"> The date on which a purchase or sale transaction was executed.</t>
  </si>
  <si>
    <t>AS_OF_TD</t>
  </si>
  <si>
    <t>SFAS 125 Report Inclusion Flag</t>
  </si>
  <si>
    <t xml:space="preserve">SFAS_125_RPT_INCLUSION_F             </t>
  </si>
  <si>
    <t xml:space="preserve"> This field of the Outstanding Activity File indicates whether  a finance trade is to be included on the SFAS 125 CollateralRecognition Report.</t>
  </si>
  <si>
    <t>SFAS_123_RPT_INCL_F</t>
  </si>
  <si>
    <t>Source Create Time</t>
  </si>
  <si>
    <t xml:space="preserve">SRC_CRT_TM                           </t>
  </si>
  <si>
    <t>NUMBER(6,0)</t>
  </si>
  <si>
    <t>NUMERIC(6,0)</t>
  </si>
  <si>
    <t xml:space="preserve"> Contains the time when a transaction was written to the system.</t>
  </si>
  <si>
    <t>SRC_CRT_TM</t>
  </si>
  <si>
    <t>Activity Link Number</t>
  </si>
  <si>
    <t xml:space="preserve">AVY_LINK_NUM                         </t>
  </si>
  <si>
    <t>VARCHAR2(15)</t>
  </si>
  <si>
    <t>character varying(15)</t>
  </si>
  <si>
    <t xml:space="preserve"> This field will contain a number used to link all  pieces of a multi-collateral financing transaction and will be thedate and number of the first financing transaction entry.For Prime Broker movement records (SM/BM) this field will have the reference to the parent trade.</t>
  </si>
  <si>
    <t>AVY_NUM_LINK</t>
  </si>
  <si>
    <t>VARCHAR2(15 BYTE)</t>
  </si>
  <si>
    <t>Financing Broker Charge Amount</t>
  </si>
  <si>
    <t xml:space="preserve">FNC_BKR_CHRG_AMT                     </t>
  </si>
  <si>
    <t>NUMBER(11,4)</t>
  </si>
  <si>
    <t>NUMERIC(11,4)</t>
  </si>
  <si>
    <t xml:space="preserve"> This field will contain the daily charge on financing done  through a broker, this can be either a rate or a flat fee.</t>
  </si>
  <si>
    <t>Add</t>
  </si>
  <si>
    <t>PBI 1672159</t>
  </si>
  <si>
    <t>FNC_BKR_CHRG_AMT</t>
  </si>
  <si>
    <t>Transaction Fee Amount</t>
  </si>
  <si>
    <t xml:space="preserve">TXN_FEE_AMT                          </t>
  </si>
  <si>
    <t xml:space="preserve"> The field will contain a fee to be charged on a trade.  Apositive value will be charged to the customer and a negative  value will be charged to the trader.</t>
  </si>
  <si>
    <t>TXN_FEE_AMT</t>
  </si>
  <si>
    <t>Rate Effective Date</t>
  </si>
  <si>
    <t xml:space="preserve">RATE_EFF_DT                          </t>
  </si>
  <si>
    <t xml:space="preserve"> In the Historical Pool Factor File, the date on which a poolfactor for an instrument is to become effective.For financing transactions, the date on which the current rate,return date, and/or collateral changes took effect.</t>
  </si>
  <si>
    <t>RATE_EFF_DT</t>
  </si>
  <si>
    <t>Firm Commission Amount</t>
  </si>
  <si>
    <t xml:space="preserve">FIRM_CMSN_AMT                        </t>
  </si>
  <si>
    <t xml:space="preserve"> This field will contain the calculabe firm commission in dollar amount.</t>
  </si>
  <si>
    <t>FIRM_CMSN_AMT</t>
  </si>
  <si>
    <t>Pending Accrued Interest To Date Amount</t>
  </si>
  <si>
    <t xml:space="preserve">PNDG_ACR_INT_TO_DT_AMT               </t>
  </si>
  <si>
    <t xml:space="preserve"> The accrued interest to date up to the next business day, for  transaction from the First of the month.</t>
  </si>
  <si>
    <t>PNDG_ACR_INT_TO_DT_AMT</t>
  </si>
  <si>
    <t>Firm Money Depository Account</t>
  </si>
  <si>
    <t xml:space="preserve">FIRM_MNY_DEPST_AC                    </t>
  </si>
  <si>
    <t xml:space="preserve"> This field will indicate the depository account through which  the firm's monies will settle.</t>
  </si>
  <si>
    <t>FIRM_MNY_DEPST_AC</t>
  </si>
  <si>
    <t>Payment Mode Code</t>
  </si>
  <si>
    <t xml:space="preserve">PYMT_MODE_CD                         </t>
  </si>
  <si>
    <t xml:space="preserve"> This field will contain a Payment Mode associatied with atransaction or open item.  Values may include:'blank', 'V' - Delivery Versus Payment 'D' - Demand Deposit Account  'C' - Check 'W' - Wire  'S' - Savings Account</t>
  </si>
  <si>
    <t>PYMT_MODE_CODE</t>
  </si>
  <si>
    <t>Dealer Broker Other Code</t>
  </si>
  <si>
    <t xml:space="preserve">DEALER_BKR_OTHR_CD                   </t>
  </si>
  <si>
    <t xml:space="preserve"> Indicates whether a customer is a dealer, broker,  or other. It is used by FRB Schedule B.Values are 'D','B','O'.</t>
  </si>
  <si>
    <t>BKR_OTHR_CODE_DEALER</t>
  </si>
  <si>
    <t>Finance Type Code</t>
  </si>
  <si>
    <t xml:space="preserve">FNC_TP_CD                            </t>
  </si>
  <si>
    <t xml:space="preserve"> This is the type of financing that has been done.  Valid entries  are:'BC' - Borrow for cash  'BP' - Borrow against pledges 'LC' - Loan for cash 'LP' - Loan against pledges'PI' - Incoming pledge  'PO' - Outgoing pledge  'RP' - Repurchase 'RV' - Reverse repurchase  'DP' - Dollar Price repurchase'DV' - Dollar Price reverse repurchase 'TP' - Tri-Party repurchase'TV' - Tri-Party reverse repurchase 'TI' - Tri-Party Pledge In 'TO' - Tri-Party Pledge Out'MI' - Money In'MO' - Money Out  'MB' - Margin Cash Borrow  'ML' - Margin Cash Loan 'SB' - Secured Cash Borrow 'SL' - Secured Cash Loan</t>
  </si>
  <si>
    <t>PBI#1998286</t>
  </si>
  <si>
    <t>FNC_TP_CODE</t>
  </si>
  <si>
    <t>Normalized Transaction Amount</t>
  </si>
  <si>
    <t xml:space="preserve">NORMALIZED_TXN_AMT                   </t>
  </si>
  <si>
    <t xml:space="preserve"> This will contain the fully normalized amount of a transaction.</t>
  </si>
  <si>
    <t>NORMD_TXN_AMT</t>
  </si>
  <si>
    <t>External Trade Source Code</t>
  </si>
  <si>
    <t xml:space="preserve">EXT_TRD_SRC_CD                       </t>
  </si>
  <si>
    <t xml:space="preserve"> This field indicates the source of a transaction.  It is used to distinguish an E-Trade from a Regular Trade.  Values:  GLS : The trade is originating from the GLOSS system. BBG : The trade is originating from Bloomberg.</t>
  </si>
  <si>
    <t>PBI: 1998286</t>
  </si>
  <si>
    <t>EXT_TRD_SRC_CODE</t>
  </si>
  <si>
    <t>Principal Trader Name</t>
  </si>
  <si>
    <t xml:space="preserve">PNP_TRDR_NM                          </t>
  </si>
  <si>
    <t>VARCHAR2(10)</t>
  </si>
  <si>
    <t>character varying(10)</t>
  </si>
  <si>
    <t xml:space="preserve"> This field will contain the name of the principal trader whoinitiates or processes a trade.</t>
  </si>
  <si>
    <t>PNP_TRDR_NM</t>
  </si>
  <si>
    <t>VARCHAR2(10 BYTE)</t>
  </si>
  <si>
    <t>Entity  / Cost Center Code</t>
  </si>
  <si>
    <t xml:space="preserve">ENT_COST_CNTR_CD                     </t>
  </si>
  <si>
    <t>VARCHAR2(20)</t>
  </si>
  <si>
    <t>character varying(20)</t>
  </si>
  <si>
    <t xml:space="preserve"> This field will contain the Legal Entity and/or Cost Center associated with an internal customer.</t>
  </si>
  <si>
    <t>ENT_X_COST_CNTR_CODE</t>
  </si>
  <si>
    <t>VARCHAR2(20 BYTE)</t>
  </si>
  <si>
    <t>SBO Type Code</t>
  </si>
  <si>
    <t xml:space="preserve">SBO_TP_CD                            </t>
  </si>
  <si>
    <t xml:space="preserve"> This field will denote whether on this customer on this BalanceOrder from the MBSCC was the result of netting trades executed with  the Original Customer (SBOO) or wheher the Balance Order Customer is a new customer (SBON).  This field is optional and may only be populated if the security  is a TBA and the settlement date of the trade is equal to the TBA Class Settlement Date.</t>
  </si>
  <si>
    <t>TP_CODE_SBO</t>
  </si>
  <si>
    <t>Normalized Trade Date Outstanding Amount</t>
  </si>
  <si>
    <t xml:space="preserve">NORMALIZED_TD_OTSND_AMT              </t>
  </si>
  <si>
    <t xml:space="preserve"> Contains the Normalized value of the current outstanding paramount of a transaction.</t>
  </si>
  <si>
    <t>NORMD_TD_OTSND_AMT</t>
  </si>
  <si>
    <t>Normalized Allocated TBA Amount</t>
  </si>
  <si>
    <t xml:space="preserve">NORMALIZED_ALCT_TBA_AMT              </t>
  </si>
  <si>
    <t xml:space="preserve"> This field will contain the normalized value of the total amount  allocated to-date for a given TBA transaction.</t>
  </si>
  <si>
    <t>NORMD_ALCT_TBA_AMT</t>
  </si>
  <si>
    <t>Normalized TBA Pairoff Amount</t>
  </si>
  <si>
    <t xml:space="preserve">NORMALIZED_PAIROFF_TBA_AMT           </t>
  </si>
  <si>
    <t xml:space="preserve"> Normalized value of the total amount paired-off to date on agiven TBA transaction.</t>
  </si>
  <si>
    <t>NORMD_TBA_OFF_AMT_PAIR</t>
  </si>
  <si>
    <t>User Profile Name</t>
  </si>
  <si>
    <t xml:space="preserve">USR_PRFL_NM                          </t>
  </si>
  <si>
    <t xml:space="preserve"> This field contains the user profile name assigned to a particularsystem user.</t>
  </si>
  <si>
    <t>USR_PRFL_NM</t>
  </si>
  <si>
    <t>Pair Off Control Amount</t>
  </si>
  <si>
    <t xml:space="preserve">PAIR_OFF_CNTL_AMT                    </t>
  </si>
  <si>
    <t xml:space="preserve"> This field will determine the Amount selected for Pairoff.  The Amount selected for Pairoff on any TBA trade, both onthe upload and on the TME on-line function, must be less than  or equal to the value of the Amount Available for Pairoffwhen a Pairoff is created.</t>
  </si>
  <si>
    <t>OFF_CNTL_AMT_PAIR</t>
  </si>
  <si>
    <t>Repurchase Contract with Haircut Value</t>
  </si>
  <si>
    <t xml:space="preserve">RPRCH_CTR_W_HRCT_VAL                 </t>
  </si>
  <si>
    <t xml:space="preserve"> This colum displays the sum of the Contract Value and theHaircut percentage amount for the given security for ONLYfinance out transaction types (DP, RP, TP).</t>
  </si>
  <si>
    <t>RPRCH_CTR_W_HRCT_VAL</t>
  </si>
  <si>
    <t>Repurchase Deduction Amount</t>
  </si>
  <si>
    <t xml:space="preserve">RPRCH_DDCN_AMT                       </t>
  </si>
  <si>
    <t xml:space="preserve"> This field contains the result (if a positive integer) ofCollateral Value - Repo Contract at Haircut % for ONLYfinance out (DP, RP, TP) transaction types.</t>
  </si>
  <si>
    <t>RPRCH_DDCN_AMT</t>
  </si>
  <si>
    <t>Haircut Excess Amount</t>
  </si>
  <si>
    <t xml:space="preserve">HRCT_EXS_AMT                         </t>
  </si>
  <si>
    <t xml:space="preserve"> This field contains the excess of the transaction  Difference between the Collatral Value at haircut percentageand Contract value. This Haircut percentage is obtained fromData area DFMREP</t>
  </si>
  <si>
    <t>HRCT_EXS_AMT</t>
  </si>
  <si>
    <t>Haircut Deficit Amount</t>
  </si>
  <si>
    <t xml:space="preserve">HRCT_DEFICIT_AMT                     </t>
  </si>
  <si>
    <t xml:space="preserve"> This field contains the deficit of the transaction. Calculated as difference between the Collatral Value at haircut percentageand Contract value. Haircut percentage is obtained from  Data area DFMREP.</t>
  </si>
  <si>
    <t>HRCT_DEF_AMT</t>
  </si>
  <si>
    <t>Haircut Value</t>
  </si>
  <si>
    <t xml:space="preserve">HRCT_VAL                             </t>
  </si>
  <si>
    <t xml:space="preserve"> This field contains a figure that is the collateral valuemultiplied by the haircut rate.</t>
  </si>
  <si>
    <t>HRCT_VAL</t>
  </si>
  <si>
    <t>Closing Ask Price</t>
  </si>
  <si>
    <t xml:space="preserve">CLS_ASK_PRC                          </t>
  </si>
  <si>
    <t xml:space="preserve"> Contains the display form of the Closing Ask Price.</t>
  </si>
  <si>
    <t>CLS_ASK_PRC</t>
  </si>
  <si>
    <t>Bid Price</t>
  </si>
  <si>
    <t xml:space="preserve">BID_PRC                              </t>
  </si>
  <si>
    <t xml:space="preserve"> Display form of the bid price.</t>
  </si>
  <si>
    <t>BID_PRC</t>
  </si>
  <si>
    <t>Transaction Fee 2 Amount</t>
  </si>
  <si>
    <t xml:space="preserve">TXN_FEE_2_AMT                        </t>
  </si>
  <si>
    <t xml:space="preserve"> The field will contain the Postage Fee Amount to be charged on a trade.  A positive value will be charged to the customer  and a negative value will be charged to the trader.</t>
  </si>
  <si>
    <t>TXN_FEE_2_AMT</t>
  </si>
  <si>
    <t>Delivery Date</t>
  </si>
  <si>
    <t xml:space="preserve">DLV_DT                               </t>
  </si>
  <si>
    <t xml:space="preserve"> Date of delivery for pools assigned for TBA transac-  tions.</t>
  </si>
  <si>
    <t>DLV_DT</t>
  </si>
  <si>
    <t>Country Code</t>
  </si>
  <si>
    <t xml:space="preserve">CTRY_CD                              </t>
  </si>
  <si>
    <t xml:space="preserve"> This field will contain a country code.</t>
  </si>
  <si>
    <t>CTRY_CODE</t>
  </si>
  <si>
    <t>Processing Flag</t>
  </si>
  <si>
    <t xml:space="preserve">PCS_F                                </t>
  </si>
  <si>
    <t xml:space="preserve"> This is used to determine whether or not a record  has been processed.</t>
  </si>
  <si>
    <t>PCS_F</t>
  </si>
  <si>
    <t>SEDOL Number</t>
  </si>
  <si>
    <t xml:space="preserve">SEDOL_NUM                            </t>
  </si>
  <si>
    <t xml:space="preserve"> This field contains the block of data received from the  splitter process. The true field size is defined in the file where used.</t>
  </si>
  <si>
    <t>NUM_SEDOL</t>
  </si>
  <si>
    <t>Normalized Linked Trade Total Amount</t>
  </si>
  <si>
    <t xml:space="preserve">NORMALIZED_LINKED_TRD_TOT_AMT        </t>
  </si>
  <si>
    <t xml:space="preserve"> This field will contain the normalized (unscaled) original amount of a trade. Used as a reference for trades that got split.</t>
  </si>
  <si>
    <t>NORMD_LNKD_TRD_TOT_AMT</t>
  </si>
  <si>
    <t>Dirty Price</t>
  </si>
  <si>
    <t xml:space="preserve">DIRTY_PRC                            </t>
  </si>
  <si>
    <t xml:space="preserve"> This field will contain the Dirty Price in calculable form for Outright Transactions and this field contains the value only if one of the Security Price Formats is Dirty ('X').</t>
  </si>
  <si>
    <t>PRC_DIRTY</t>
  </si>
  <si>
    <t>Original Finance Tenor Type Code</t>
  </si>
  <si>
    <t xml:space="preserve">ORIG_TENOR_FNC_TP_CD                 </t>
  </si>
  <si>
    <t xml:space="preserve"> This will contain the Original Finance Tenor Type. The values for this field are:  'TFN'  -  Open Item  'OVN'  -  Over-Night Item  'TRM'  -  Term Item</t>
  </si>
  <si>
    <t>ORIG_FNC_TENOR_TP_CODE</t>
  </si>
  <si>
    <t>Tax Withheld Amount</t>
  </si>
  <si>
    <t xml:space="preserve">TAX_WHLD_AMT                         </t>
  </si>
  <si>
    <t>No available description</t>
  </si>
  <si>
    <t>TAX_WHLD_AMT</t>
  </si>
  <si>
    <t>Tax Type Code</t>
  </si>
  <si>
    <t xml:space="preserve">TAX_TP_CD                            </t>
  </si>
  <si>
    <t xml:space="preserve">  ---- This field will display the type of tax, if the tax withheld fieldis populated Valid values are:  'NO' - NO REPORTING  'BL' - BLENDED TAX'BU' - BACKUP W/H TAX'F'  - FATCA TAX  'N'  - NRA TAX</t>
  </si>
  <si>
    <t>TAX_TP_CODE</t>
  </si>
  <si>
    <t>Tax Rate</t>
  </si>
  <si>
    <t xml:space="preserve">TAX_RATE                             </t>
  </si>
  <si>
    <t xml:space="preserve"> This field contains the tax rate that was applied to calculate the tax  withholding for the financing deal.</t>
  </si>
  <si>
    <t>TAX_RATE</t>
  </si>
  <si>
    <t>Default FATCA Withholding Percent</t>
  </si>
  <si>
    <t xml:space="preserve">DFLT_FATCA_WHLD_PCT                  </t>
  </si>
  <si>
    <t xml:space="preserve"> This field will contain default FATCA with holding rate percentage.</t>
  </si>
  <si>
    <t>DFLT_FATCA_WHLD_PCT</t>
  </si>
  <si>
    <t>Fatca Tax Withholding Amount</t>
  </si>
  <si>
    <t>FATCA_TAX_WHLD_AMT</t>
  </si>
  <si>
    <t xml:space="preserve"> This field contains the FATCA Withholding Amount, if any, for the financing deal.if no tax was withheld for this transaction, the amount will be zero.</t>
  </si>
  <si>
    <t>Non Resident Alien Tax Withholding Amount</t>
  </si>
  <si>
    <t xml:space="preserve">NON_RSDNT_ALIEN_TAX_WHLD_AMT         </t>
  </si>
  <si>
    <t xml:space="preserve"> This field contains the NRA Withholding Amount, if any, for thefinancing deal.if no tax was withheld for this transaction, the amount will be zero.</t>
  </si>
  <si>
    <t>NRA_TAX_WHLD_AMT</t>
  </si>
  <si>
    <t>Drop Through Bond Rate</t>
  </si>
  <si>
    <t xml:space="preserve">DROP_THR_BOND_RATE                   </t>
  </si>
  <si>
    <t>************************************************************************  DTCH  1ATEXT('DTC BUSINESS DAY ON +IMPACT HOLIDAY')---- This field will indicate whether or not for the DTC (CHSSET/CSHDAL)  payments will be processed in case of Entity is Open but Depository  is Closed for the Holiday. Values are: ' ' or 'N' - On Depo Holiday when Impact is open for the processing-  meaning no HLDE entry:  (CSHSET/CSHDAL) payments will not be applied.Client will be obligated to resolve DTC Open Items Manually effective on the next business day. 'Y' - Payments will be applied. UDP Open Item will be created</t>
  </si>
  <si>
    <t>DROP_THR_BOND_RATE</t>
  </si>
  <si>
    <t>Non Resident Alien Tax Drop Through Withholding Amount</t>
  </si>
  <si>
    <t>NON_RSDNT_ALIEN_TAX_DROP_THR_WHLD_AMT</t>
  </si>
  <si>
    <t xml:space="preserve"> This field contains the NRA Drop Through Withholding Amount which is one of component in Blended Rate tax with holding  calculation for INA.</t>
  </si>
  <si>
    <t>NRA_TAX_DROP_THR_WHLD_AMT</t>
  </si>
  <si>
    <t>Fatca Tax Credit Amount</t>
  </si>
  <si>
    <t xml:space="preserve">FATCA_TAX_CR_AMT                     </t>
  </si>
  <si>
    <t xml:space="preserve"> This field contains the FATCA Tax Credit Amount.</t>
  </si>
  <si>
    <t>FATCA_TAX_CR_AMT</t>
  </si>
  <si>
    <t>Mortgage Backed Security Pool Transaction Type Code</t>
  </si>
  <si>
    <t xml:space="preserve">MBS_POOL_TXN_TP_CD                   </t>
  </si>
  <si>
    <t xml:space="preserve"> This field will distinguish between TBA allocations and Spec Pool transactions.  Values are:  ' ' - All transactions  'A' - TBA Allocations'S' - Spec pool transactions</t>
  </si>
  <si>
    <t>MBS_POOL_TXN_TP_CODE</t>
  </si>
  <si>
    <t>Customer TBA Margin Code</t>
  </si>
  <si>
    <t xml:space="preserve">CST_TBA_MRGN_CD                      </t>
  </si>
  <si>
    <t xml:space="preserve"> This field will determine whether the Customer Account iseligible for TBA Margining Process or not.Valid values are: 'Y' - Customer eligible for TBA Margining.  ' '/'N' - Customer not eligible for TBA Margining.</t>
  </si>
  <si>
    <t>CST_TBA_MRGN_CODE</t>
  </si>
  <si>
    <t>External Version Number</t>
  </si>
  <si>
    <t xml:space="preserve">EXT_VRSN_NUM                         </t>
  </si>
  <si>
    <t>character varying(9)</t>
  </si>
  <si>
    <t>External version number associated to a transaction generated by source.</t>
  </si>
  <si>
    <t>EXT_VRSN_NUM</t>
  </si>
  <si>
    <t>Previous Transaction Id</t>
  </si>
  <si>
    <t xml:space="preserve">PREV_TXN_ID                          </t>
  </si>
  <si>
    <t>A numeric value which link the current transaction to its previous on incase of amendment or Cancellation.</t>
  </si>
  <si>
    <t>PREV_TXN_ID</t>
  </si>
  <si>
    <t>Theoretical Loan Value</t>
  </si>
  <si>
    <t xml:space="preserve">THEORETICAL_LOAN_VAL                 </t>
  </si>
  <si>
    <t>VARCHAR2(19)</t>
  </si>
  <si>
    <t>it refers to theoritical balance or outstanding amount of a loan at a specific time.</t>
  </si>
  <si>
    <t>THEO_LOAN_VAL</t>
  </si>
  <si>
    <t>VARCHAR2(19 BYTE)</t>
  </si>
  <si>
    <t>Repo Mark To Market Value</t>
  </si>
  <si>
    <t xml:space="preserve">REPO_MARK_TO_MKT_VAL                 </t>
  </si>
  <si>
    <t>Mark to Market value for a Repo</t>
  </si>
  <si>
    <t>REPO_MARK_TO_MKT_VAL</t>
  </si>
  <si>
    <t>Repo Mark To Market Price</t>
  </si>
  <si>
    <t xml:space="preserve">REPO_MARK_TO_MKT_PRC                 </t>
  </si>
  <si>
    <t>VARCHAR2(17)</t>
  </si>
  <si>
    <t>character varying(17)</t>
  </si>
  <si>
    <t>Mark to Market Price of a Repo</t>
  </si>
  <si>
    <t>REPO_MARK_TO_MKT_PRC</t>
  </si>
  <si>
    <t>VARCHAR2(17 BYTE)</t>
  </si>
  <si>
    <t>Create Datetime</t>
  </si>
  <si>
    <t xml:space="preserve">CRT_DTM                              </t>
  </si>
  <si>
    <t>TIMESTAMP(6)</t>
  </si>
  <si>
    <t>The exact date when a transaction first created.</t>
  </si>
  <si>
    <t>Creat User Name</t>
  </si>
  <si>
    <t xml:space="preserve">CRT_USR_NM                           </t>
  </si>
  <si>
    <t>VARCHAR2(256)</t>
  </si>
  <si>
    <t>character varying(256)</t>
  </si>
  <si>
    <t>The name that represents the user who created an occurrence of a transaction</t>
  </si>
  <si>
    <t>Last Updated Datetime</t>
  </si>
  <si>
    <t xml:space="preserve">LAST_UDT_DTM                         </t>
  </si>
  <si>
    <t>The time that represents the user or application who inserted, updated, or deleted each occurrence of transaction.</t>
  </si>
  <si>
    <t>LaSt Update User Name</t>
  </si>
  <si>
    <t xml:space="preserve">LAST_UDT_USR_NM                      </t>
  </si>
  <si>
    <t>The name that represents the user or application who inserted, updated, or deleted each occurrence of transactions.</t>
  </si>
  <si>
    <t>Batch Date</t>
  </si>
  <si>
    <t>This indicates the date when a batch was run and records were inserted or updated.</t>
  </si>
  <si>
    <t>Calculable Par Transaction Price Amount</t>
  </si>
  <si>
    <t>CALC_PAR_TXN_PRC_AMT</t>
  </si>
  <si>
    <t>The par equivalent original transaction price in calculable form in the dominant price format of the security.</t>
  </si>
  <si>
    <t>Grain Columns</t>
  </si>
  <si>
    <t>3. View Schema Name - SSDS_DAL_OWNER</t>
  </si>
  <si>
    <t xml:space="preserve">5. Table Functional Description - </t>
  </si>
  <si>
    <t>6. Filter Criteria -  NA</t>
  </si>
  <si>
    <t>Logic if necessary:</t>
  </si>
  <si>
    <t>Entity Name</t>
  </si>
  <si>
    <t>Table Name</t>
  </si>
  <si>
    <t>Attribute Name</t>
  </si>
  <si>
    <t>Column Name</t>
  </si>
  <si>
    <t>Attribute/Column Definition</t>
  </si>
  <si>
    <t>Domain</t>
  </si>
  <si>
    <t>Column Datatype</t>
  </si>
  <si>
    <t>Column Null Option</t>
  </si>
  <si>
    <t>f</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</si>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</sst>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4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b/>
      <u/>
      <sz val="11"/>
      <name val="Calibri"/>
      <family val="2"/>
      <scheme val="minor"/>
    </font>
    <font>
      <b/>
      <sz val="14"/>
      <color rgb="FFFF0000"/>
      <name val="Calibri"/>
      <family val="2"/>
      <scheme val="minor"/>
    </font>
    <font>
      <u/>
      <sz val="11"/>
      <color theme="1"/>
      <name val="Calibri"/>
      <family val="2"/>
      <scheme val="minor"/>
    </font>
    <font>
      <sz val="11"/>
      <name val="Calibri"/>
      <family val="2"/>
    </font>
    <font>
      <sz val="11"/>
      <color rgb="FF000000"/>
      <name val="Calibri"/>
      <family val="2"/>
      <scheme val="minor"/>
    </font>
    <font>
      <sz val="11"/>
      <color rgb="FF000000"/>
      <name val="Calibri"/>
      <family val="2"/>
    </font>
    <font>
      <b/>
      <sz val="11"/>
      <color rgb="FFFF0000"/>
      <name val="Calibri"/>
      <family val="2"/>
      <scheme val="minor"/>
    </font>
    <font>
      <b/>
      <sz val="12"/>
      <color rgb="FF000000"/>
      <name val="Calibri"/>
      <family val="2"/>
      <scheme val="minor"/>
    </font>
    <font>
      <sz val="10"/>
      <color rgb="FF000000"/>
      <name val="Calibri"/>
      <family val="2"/>
      <scheme val="minor"/>
    </font>
    <font>
      <sz val="11"/>
      <color rgb="FFFF0000"/>
      <name val="Calibri"/>
      <family val="2"/>
    </font>
    <font>
      <u/>
      <sz val="11"/>
      <name val="Calibri"/>
      <family val="2"/>
      <scheme val="minor"/>
    </font>
  </fonts>
  <fills count="94">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theme="7" tint="0.79998168889431442"/>
        <bgColor indexed="64"/>
      </patternFill>
    </fill>
    <fill>
      <patternFill patternType="solid">
        <fgColor rgb="FFFFFFFF"/>
        <bgColor indexed="64"/>
      </patternFill>
    </fill>
    <fill>
      <patternFill patternType="solid">
        <fgColor rgb="FFFF0000"/>
        <bgColor indexed="64"/>
      </patternFill>
    </fill>
    <fill>
      <patternFill patternType="solid">
        <fgColor theme="3" tint="0.749992370372631"/>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s>
  <cellStyleXfs count="3954">
    <xf numFmtId="0" fontId="0" fillId="0" borderId="0"/>
    <xf numFmtId="0" fontId="1" fillId="2" borderId="1" applyNumberFormat="0" applyFont="0" applyAlignment="0" applyProtection="0"/>
    <xf numFmtId="0" fontId="4" fillId="0" borderId="0"/>
    <xf numFmtId="14" fontId="4" fillId="0" borderId="0" applyProtection="0"/>
    <xf numFmtId="164" fontId="4" fillId="0" borderId="0" applyProtection="0"/>
    <xf numFmtId="0" fontId="5" fillId="0" borderId="0"/>
    <xf numFmtId="0" fontId="5" fillId="0" borderId="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9" applyNumberFormat="0" applyAlignment="0" applyProtection="0"/>
    <xf numFmtId="0" fontId="13" fillId="7" borderId="10" applyNumberFormat="0" applyAlignment="0" applyProtection="0"/>
    <xf numFmtId="0" fontId="14" fillId="7" borderId="9" applyNumberFormat="0" applyAlignment="0" applyProtection="0"/>
    <xf numFmtId="0" fontId="15" fillId="0" borderId="11" applyNumberFormat="0" applyFill="0" applyAlignment="0" applyProtection="0"/>
    <xf numFmtId="0" fontId="16" fillId="8" borderId="12"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 fillId="0" borderId="13"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165" fontId="5" fillId="0" borderId="0"/>
    <xf numFmtId="0" fontId="23" fillId="0" borderId="0">
      <alignment horizontal="center"/>
    </xf>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6" fillId="0" borderId="0" applyNumberFormat="0" applyFill="0" applyBorder="0" applyAlignment="0" applyProtection="0"/>
    <xf numFmtId="0" fontId="25" fillId="0" borderId="0"/>
    <xf numFmtId="166" fontId="5" fillId="0" borderId="18"/>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8" fillId="0" borderId="0"/>
    <xf numFmtId="165" fontId="28" fillId="0" borderId="0"/>
    <xf numFmtId="167" fontId="23" fillId="0" borderId="0" applyFont="0" applyFill="0" applyBorder="0" applyAlignment="0" applyProtection="0">
      <protection locked="0"/>
    </xf>
    <xf numFmtId="165" fontId="28" fillId="0" borderId="0">
      <alignment horizontal="right"/>
    </xf>
    <xf numFmtId="168" fontId="5" fillId="0" borderId="0"/>
    <xf numFmtId="168" fontId="5" fillId="0" borderId="0"/>
    <xf numFmtId="168" fontId="5" fillId="0" borderId="0"/>
    <xf numFmtId="169" fontId="5" fillId="0" borderId="0"/>
    <xf numFmtId="169" fontId="5" fillId="0" borderId="0"/>
    <xf numFmtId="169" fontId="5" fillId="0" borderId="0"/>
    <xf numFmtId="170" fontId="5" fillId="0" borderId="0"/>
    <xf numFmtId="170" fontId="5" fillId="0" borderId="0"/>
    <xf numFmtId="170" fontId="5" fillId="0" borderId="0"/>
    <xf numFmtId="171" fontId="5" fillId="0" borderId="0"/>
    <xf numFmtId="171" fontId="5" fillId="0" borderId="0"/>
    <xf numFmtId="171" fontId="5" fillId="0" borderId="0"/>
    <xf numFmtId="172" fontId="5" fillId="0" borderId="0"/>
    <xf numFmtId="172" fontId="5" fillId="0" borderId="0"/>
    <xf numFmtId="172" fontId="5" fillId="0" borderId="0"/>
    <xf numFmtId="173" fontId="5" fillId="0" borderId="0"/>
    <xf numFmtId="173" fontId="5" fillId="0" borderId="0"/>
    <xf numFmtId="173" fontId="5" fillId="0" borderId="0"/>
    <xf numFmtId="0" fontId="5" fillId="0" borderId="0"/>
    <xf numFmtId="0" fontId="5" fillId="0" borderId="0"/>
    <xf numFmtId="0" fontId="5" fillId="0" borderId="0"/>
    <xf numFmtId="174" fontId="29" fillId="0" borderId="0" applyFont="0" applyFill="0" applyBorder="0" applyAlignment="0" applyProtection="0"/>
    <xf numFmtId="0" fontId="5" fillId="0" borderId="0"/>
    <xf numFmtId="37" fontId="30" fillId="0" borderId="0" applyAlignment="0" applyProtection="0"/>
    <xf numFmtId="0" fontId="23" fillId="0" borderId="0" applyFont="0" applyFill="0" applyBorder="0" applyAlignment="0"/>
    <xf numFmtId="0" fontId="23" fillId="0" borderId="0" applyFont="0" applyFill="0" applyBorder="0" applyAlignment="0"/>
    <xf numFmtId="0" fontId="31" fillId="0" borderId="0"/>
    <xf numFmtId="175" fontId="32" fillId="0" borderId="0" applyFont="0" applyFill="0" applyBorder="0" applyAlignment="0" applyProtection="0"/>
    <xf numFmtId="176" fontId="5" fillId="0" borderId="0" applyFont="0" applyFill="0" applyBorder="0" applyAlignment="0" applyProtection="0"/>
    <xf numFmtId="177" fontId="5" fillId="33" borderId="0"/>
    <xf numFmtId="40" fontId="32" fillId="0" borderId="0" applyFont="0" applyFill="0" applyBorder="0" applyAlignment="0" applyProtection="0"/>
    <xf numFmtId="0" fontId="33" fillId="0" borderId="0" applyNumberFormat="0" applyFill="0" applyBorder="0" applyAlignment="0" applyProtection="0">
      <alignment vertical="top"/>
      <protection locked="0"/>
    </xf>
    <xf numFmtId="38" fontId="32" fillId="0" borderId="0" applyFont="0" applyFill="0" applyBorder="0" applyAlignment="0" applyProtection="0"/>
    <xf numFmtId="0" fontId="34" fillId="0" borderId="0"/>
    <xf numFmtId="0" fontId="35" fillId="0" borderId="0"/>
    <xf numFmtId="17" fontId="36" fillId="0" borderId="0">
      <alignment horizontal="center"/>
    </xf>
    <xf numFmtId="178" fontId="5" fillId="0" borderId="0" applyFont="0" applyFill="0" applyBorder="0" applyAlignment="0" applyProtection="0"/>
    <xf numFmtId="179" fontId="5" fillId="0" borderId="0" applyFont="0" applyFill="0" applyBorder="0" applyAlignment="0" applyProtection="0"/>
    <xf numFmtId="0" fontId="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alignment horizontal="left" wrapText="1"/>
    </xf>
    <xf numFmtId="0" fontId="35" fillId="0" borderId="0"/>
    <xf numFmtId="0" fontId="5" fillId="0" borderId="0"/>
    <xf numFmtId="0" fontId="5" fillId="0" borderId="0"/>
    <xf numFmtId="0" fontId="5" fillId="0" borderId="0" applyNumberFormat="0" applyFill="0" applyBorder="0" applyAlignment="0" applyProtection="0"/>
    <xf numFmtId="0" fontId="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xf numFmtId="0" fontId="5" fillId="0" borderId="0"/>
    <xf numFmtId="0" fontId="25" fillId="0" borderId="0"/>
    <xf numFmtId="0" fontId="35" fillId="0" borderId="0"/>
    <xf numFmtId="0" fontId="2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2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NumberFormat="0" applyFill="0" applyBorder="0" applyAlignment="0" applyProtection="0"/>
    <xf numFmtId="0" fontId="24" fillId="0" borderId="0"/>
    <xf numFmtId="0" fontId="5" fillId="0" borderId="0">
      <alignment horizontal="left" wrapText="1"/>
    </xf>
    <xf numFmtId="0" fontId="5" fillId="0" borderId="0"/>
    <xf numFmtId="0" fontId="5" fillId="0" borderId="0"/>
    <xf numFmtId="0" fontId="5" fillId="0" borderId="0"/>
    <xf numFmtId="0" fontId="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xf numFmtId="0" fontId="5" fillId="0" borderId="0"/>
    <xf numFmtId="0" fontId="5" fillId="0" borderId="0"/>
    <xf numFmtId="0" fontId="25" fillId="0" borderId="0"/>
    <xf numFmtId="0" fontId="2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applyNumberForma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5" fillId="0" borderId="0" applyNumberFormat="0" applyFill="0" applyBorder="0" applyAlignment="0" applyProtection="0"/>
    <xf numFmtId="0" fontId="38" fillId="0" borderId="0"/>
    <xf numFmtId="0" fontId="37" fillId="0" borderId="0"/>
    <xf numFmtId="0" fontId="37" fillId="0" borderId="0"/>
    <xf numFmtId="0" fontId="37" fillId="0" borderId="0"/>
    <xf numFmtId="0" fontId="38"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Font="0" applyFill="0" applyBorder="0" applyAlignment="0" applyProtection="0"/>
    <xf numFmtId="0" fontId="24"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alignment horizontal="left" wrapText="1"/>
    </xf>
    <xf numFmtId="38" fontId="39" fillId="0" borderId="0" applyFont="0" applyFill="0" applyBorder="0" applyAlignment="0" applyProtection="0"/>
    <xf numFmtId="0" fontId="40" fillId="0" borderId="0">
      <alignment vertical="center"/>
    </xf>
    <xf numFmtId="0" fontId="40" fillId="0" borderId="0">
      <alignment vertical="center"/>
    </xf>
    <xf numFmtId="0" fontId="40" fillId="0" borderId="0">
      <alignment vertical="center"/>
    </xf>
    <xf numFmtId="0" fontId="5" fillId="0" borderId="0">
      <alignment horizontal="left" wrapText="1"/>
    </xf>
    <xf numFmtId="37" fontId="30" fillId="0" borderId="0" applyAlignment="0" applyProtection="0"/>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38" fontId="3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pplyNumberFormat="0" applyFill="0" applyBorder="0" applyAlignment="0" applyProtection="0"/>
    <xf numFmtId="0" fontId="24" fillId="0" borderId="0"/>
    <xf numFmtId="0" fontId="35" fillId="0" borderId="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0">
      <alignment horizontal="left" wrapText="1"/>
    </xf>
    <xf numFmtId="0" fontId="5" fillId="0" borderId="0" applyNumberFormat="0" applyFill="0" applyBorder="0" applyAlignment="0" applyProtection="0"/>
    <xf numFmtId="0" fontId="35" fillId="0" borderId="0"/>
    <xf numFmtId="0" fontId="5" fillId="0" borderId="0"/>
    <xf numFmtId="0" fontId="5" fillId="0" borderId="0"/>
    <xf numFmtId="0" fontId="5"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38" fillId="0" borderId="0"/>
    <xf numFmtId="0" fontId="24" fillId="0" borderId="0"/>
    <xf numFmtId="0" fontId="24" fillId="0" borderId="0"/>
    <xf numFmtId="0" fontId="24" fillId="0" borderId="0"/>
    <xf numFmtId="0" fontId="5" fillId="0" borderId="0"/>
    <xf numFmtId="0" fontId="5" fillId="0" borderId="0"/>
    <xf numFmtId="0" fontId="5" fillId="0" borderId="0"/>
    <xf numFmtId="0" fontId="24" fillId="0" borderId="0"/>
    <xf numFmtId="37" fontId="30" fillId="0" borderId="0" applyAlignment="0" applyProtection="0"/>
    <xf numFmtId="0" fontId="5" fillId="0" borderId="0"/>
    <xf numFmtId="0" fontId="5" fillId="0" borderId="0"/>
    <xf numFmtId="37" fontId="30" fillId="0" borderId="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41"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41"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0" fontId="5" fillId="0" borderId="0"/>
    <xf numFmtId="0" fontId="5" fillId="0" borderId="0"/>
    <xf numFmtId="0" fontId="35" fillId="0" borderId="0"/>
    <xf numFmtId="0" fontId="35" fillId="0" borderId="0"/>
    <xf numFmtId="0" fontId="3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42" fillId="0" borderId="0">
      <alignment horizontal="left" wrapText="1"/>
    </xf>
    <xf numFmtId="0" fontId="43" fillId="0" borderId="0">
      <alignment horizontal="left" wrapText="1"/>
    </xf>
    <xf numFmtId="0" fontId="43" fillId="0" borderId="0">
      <alignment horizontal="left" wrapText="1"/>
    </xf>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5" fillId="0" borderId="0"/>
    <xf numFmtId="0" fontId="5" fillId="0" borderId="0">
      <alignment horizontal="left" wrapText="1"/>
    </xf>
    <xf numFmtId="0" fontId="5" fillId="0" borderId="0">
      <alignment horizontal="left" wrapText="1"/>
    </xf>
    <xf numFmtId="0" fontId="24" fillId="0" borderId="0"/>
    <xf numFmtId="0" fontId="37" fillId="0" borderId="0"/>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25" fillId="0" borderId="0"/>
    <xf numFmtId="0" fontId="25" fillId="0" borderId="0"/>
    <xf numFmtId="0" fontId="2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applyFont="0" applyFill="0" applyBorder="0" applyAlignment="0" applyProtection="0"/>
    <xf numFmtId="185" fontId="5" fillId="0" borderId="0" applyFont="0" applyFill="0" applyBorder="0" applyAlignment="0" applyProtection="0"/>
    <xf numFmtId="0" fontId="5" fillId="0" borderId="0"/>
    <xf numFmtId="0" fontId="5" fillId="0" borderId="0">
      <alignment horizontal="left" wrapText="1"/>
    </xf>
    <xf numFmtId="0" fontId="5" fillId="0" borderId="0"/>
    <xf numFmtId="0" fontId="44" fillId="0" borderId="0">
      <alignment vertical="center"/>
    </xf>
    <xf numFmtId="0" fontId="5" fillId="0" borderId="0"/>
    <xf numFmtId="0" fontId="5" fillId="0" borderId="0"/>
    <xf numFmtId="0" fontId="24" fillId="0" borderId="0"/>
    <xf numFmtId="0" fontId="5" fillId="0" borderId="0">
      <alignment horizontal="left" wrapText="1"/>
    </xf>
    <xf numFmtId="0" fontId="5" fillId="0" borderId="0"/>
    <xf numFmtId="0" fontId="37" fillId="0" borderId="0"/>
    <xf numFmtId="0" fontId="5" fillId="0" borderId="0"/>
    <xf numFmtId="0" fontId="24" fillId="0" borderId="0"/>
    <xf numFmtId="0" fontId="24" fillId="0" borderId="0"/>
    <xf numFmtId="0" fontId="25" fillId="0" borderId="0"/>
    <xf numFmtId="0" fontId="24" fillId="0" borderId="0"/>
    <xf numFmtId="0" fontId="5" fillId="0" borderId="0">
      <alignment horizontal="left" wrapText="1"/>
    </xf>
    <xf numFmtId="0" fontId="5" fillId="0" borderId="0"/>
    <xf numFmtId="0" fontId="5" fillId="0" borderId="0"/>
    <xf numFmtId="0" fontId="5" fillId="0" borderId="0"/>
    <xf numFmtId="0" fontId="38" fillId="0" borderId="0"/>
    <xf numFmtId="0" fontId="5" fillId="0" borderId="0">
      <alignment horizontal="left" wrapText="1"/>
    </xf>
    <xf numFmtId="0" fontId="5" fillId="0" borderId="0">
      <alignment horizontal="left" wrapText="1"/>
    </xf>
    <xf numFmtId="0" fontId="5" fillId="0" borderId="0"/>
    <xf numFmtId="0" fontId="3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8" fillId="0" borderId="0"/>
    <xf numFmtId="0" fontId="38" fillId="0" borderId="0"/>
    <xf numFmtId="0" fontId="38" fillId="0" borderId="0"/>
    <xf numFmtId="0" fontId="38" fillId="0" borderId="0"/>
    <xf numFmtId="0" fontId="38" fillId="0" borderId="0"/>
    <xf numFmtId="0" fontId="38" fillId="0" borderId="0"/>
    <xf numFmtId="0" fontId="5" fillId="0" borderId="0">
      <alignment horizontal="left" wrapText="1"/>
    </xf>
    <xf numFmtId="0" fontId="5" fillId="0" borderId="0">
      <alignment horizontal="left" wrapText="1"/>
    </xf>
    <xf numFmtId="38" fontId="39" fillId="0" borderId="0" applyFont="0" applyFill="0" applyBorder="0" applyAlignment="0" applyProtection="0"/>
    <xf numFmtId="38" fontId="39" fillId="0" borderId="0" applyFont="0" applyFill="0" applyBorder="0" applyAlignment="0" applyProtection="0"/>
    <xf numFmtId="0" fontId="5" fillId="0" borderId="0" applyNumberFormat="0" applyFill="0" applyBorder="0" applyAlignment="0" applyProtection="0"/>
    <xf numFmtId="0" fontId="5" fillId="0" borderId="0"/>
    <xf numFmtId="0" fontId="24" fillId="0" borderId="0"/>
    <xf numFmtId="0" fontId="35" fillId="0" borderId="0"/>
    <xf numFmtId="0" fontId="5" fillId="0" borderId="0"/>
    <xf numFmtId="0" fontId="5" fillId="0" borderId="0"/>
    <xf numFmtId="0" fontId="25" fillId="0" borderId="0"/>
    <xf numFmtId="0" fontId="25" fillId="0" borderId="0"/>
    <xf numFmtId="0" fontId="38" fillId="0" borderId="0"/>
    <xf numFmtId="0" fontId="37" fillId="0" borderId="0"/>
    <xf numFmtId="0" fontId="37" fillId="0" borderId="0"/>
    <xf numFmtId="0" fontId="37" fillId="0" borderId="0"/>
    <xf numFmtId="0" fontId="38" fillId="0" borderId="0"/>
    <xf numFmtId="0" fontId="38"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38" fillId="0" borderId="0"/>
    <xf numFmtId="0" fontId="37" fillId="0" borderId="0"/>
    <xf numFmtId="0" fontId="37" fillId="0" borderId="0"/>
    <xf numFmtId="0" fontId="37" fillId="0" borderId="0"/>
    <xf numFmtId="0" fontId="38" fillId="0" borderId="0"/>
    <xf numFmtId="0" fontId="38"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xf numFmtId="0" fontId="5" fillId="0" borderId="0"/>
    <xf numFmtId="0" fontId="5" fillId="0" borderId="0"/>
    <xf numFmtId="0" fontId="5" fillId="0" borderId="0"/>
    <xf numFmtId="0" fontId="5" fillId="34" borderId="0"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37" fontId="30" fillId="0" borderId="0" applyAlignment="0" applyProtection="0"/>
    <xf numFmtId="0" fontId="5" fillId="0" borderId="0"/>
    <xf numFmtId="0" fontId="24" fillId="0" borderId="0"/>
    <xf numFmtId="0" fontId="5" fillId="0" borderId="0"/>
    <xf numFmtId="0" fontId="5" fillId="0" borderId="0">
      <alignment horizontal="left" wrapText="1"/>
    </xf>
    <xf numFmtId="0" fontId="24" fillId="0" borderId="0"/>
    <xf numFmtId="37" fontId="30" fillId="0" borderId="0" applyAlignment="0" applyProtection="0"/>
    <xf numFmtId="0" fontId="25" fillId="0" borderId="0"/>
    <xf numFmtId="0" fontId="25" fillId="0" borderId="0"/>
    <xf numFmtId="0" fontId="2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24" fillId="0" borderId="0"/>
    <xf numFmtId="0" fontId="24" fillId="0" borderId="0"/>
    <xf numFmtId="0" fontId="37" fillId="0" borderId="0"/>
    <xf numFmtId="0" fontId="24"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alignment horizontal="left" wrapText="1"/>
    </xf>
    <xf numFmtId="0" fontId="25" fillId="0" borderId="0"/>
    <xf numFmtId="0" fontId="5" fillId="0" borderId="0">
      <alignment horizontal="left" wrapText="1"/>
    </xf>
    <xf numFmtId="0" fontId="5" fillId="0" borderId="0"/>
    <xf numFmtId="38" fontId="3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xf numFmtId="0" fontId="35" fillId="0" borderId="0"/>
    <xf numFmtId="0" fontId="5" fillId="0" borderId="0">
      <alignment horizontal="left" wrapText="1"/>
    </xf>
    <xf numFmtId="0" fontId="24" fillId="0" borderId="0"/>
    <xf numFmtId="0" fontId="5" fillId="0" borderId="0"/>
    <xf numFmtId="0" fontId="25" fillId="0" borderId="0"/>
    <xf numFmtId="0" fontId="5" fillId="0" borderId="0"/>
    <xf numFmtId="0" fontId="5" fillId="0" borderId="0"/>
    <xf numFmtId="0" fontId="46" fillId="0" borderId="0">
      <alignment vertical="top"/>
    </xf>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9"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24" fillId="0" borderId="0"/>
    <xf numFmtId="0" fontId="24" fillId="0" borderId="0"/>
    <xf numFmtId="0" fontId="24"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190" fontId="5" fillId="0" borderId="0" applyFont="0" applyFill="0" applyBorder="0" applyAlignment="0" applyProtection="0"/>
    <xf numFmtId="191" fontId="47" fillId="0" borderId="19" applyFont="0" applyFill="0" applyBorder="0" applyProtection="0">
      <alignment horizontal="right"/>
    </xf>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24" fillId="0" borderId="0"/>
    <xf numFmtId="0" fontId="24" fillId="0" borderId="0"/>
    <xf numFmtId="0" fontId="24"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37" fontId="30" fillId="0" borderId="0" applyAlignment="0" applyProtection="0"/>
    <xf numFmtId="0" fontId="5" fillId="0" borderId="0" applyFont="0" applyFill="0" applyBorder="0" applyAlignment="0" applyProtection="0"/>
    <xf numFmtId="37" fontId="30" fillId="0" borderId="0" applyAlignment="0" applyProtection="0"/>
    <xf numFmtId="0" fontId="24" fillId="0" borderId="0"/>
    <xf numFmtId="0" fontId="24"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5" fillId="0" borderId="0"/>
    <xf numFmtId="0" fontId="5" fillId="0" borderId="0"/>
    <xf numFmtId="0" fontId="5" fillId="0" borderId="0">
      <alignment horizontal="left" wrapText="1"/>
    </xf>
    <xf numFmtId="0" fontId="40" fillId="0" borderId="0">
      <alignment vertical="center"/>
    </xf>
    <xf numFmtId="0" fontId="5" fillId="0" borderId="0">
      <alignment horizontal="left" wrapText="1"/>
    </xf>
    <xf numFmtId="0" fontId="38" fillId="0" borderId="0"/>
    <xf numFmtId="0" fontId="24" fillId="0" borderId="0"/>
    <xf numFmtId="0" fontId="24" fillId="0" borderId="0"/>
    <xf numFmtId="0" fontId="24" fillId="0" borderId="0"/>
    <xf numFmtId="0" fontId="2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xf numFmtId="0" fontId="5" fillId="0" borderId="0"/>
    <xf numFmtId="0" fontId="5" fillId="0" borderId="0"/>
    <xf numFmtId="0" fontId="3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alignment horizontal="left" wrapText="1"/>
    </xf>
    <xf numFmtId="0" fontId="5" fillId="0" borderId="0">
      <alignment horizontal="left" wrapText="1"/>
    </xf>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5" fillId="0" borderId="0"/>
    <xf numFmtId="0" fontId="5" fillId="0" borderId="0">
      <alignment horizontal="left" wrapText="1"/>
    </xf>
    <xf numFmtId="0" fontId="5" fillId="0" borderId="0" applyFont="0" applyFill="0" applyBorder="0" applyAlignment="0" applyProtection="0"/>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7" fillId="0" borderId="19" applyNumberFormat="0" applyFill="0" applyAlignment="0" applyProtection="0"/>
    <xf numFmtId="0" fontId="49" fillId="0" borderId="20" applyNumberFormat="0" applyFill="0" applyProtection="0">
      <alignment horizontal="center"/>
    </xf>
    <xf numFmtId="0" fontId="49" fillId="0" borderId="0" applyNumberFormat="0" applyFill="0" applyBorder="0" applyProtection="0">
      <alignment horizontal="left"/>
    </xf>
    <xf numFmtId="0" fontId="50" fillId="0" borderId="0" applyNumberFormat="0" applyFill="0" applyBorder="0" applyProtection="0">
      <alignment horizontal="centerContinuous"/>
    </xf>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193" fontId="5" fillId="0" borderId="0" applyFont="0" applyFill="0" applyBorder="0" applyAlignment="0" applyProtection="0"/>
    <xf numFmtId="194" fontId="5" fillId="0" borderId="0" applyFont="0" applyFill="0" applyBorder="0" applyAlignment="0" applyProtection="0"/>
    <xf numFmtId="195" fontId="51" fillId="0" borderId="0">
      <alignment horizontal="right" vertical="center"/>
    </xf>
    <xf numFmtId="0" fontId="23" fillId="0" borderId="0"/>
    <xf numFmtId="41" fontId="5" fillId="0" borderId="0" applyFont="0" applyFill="0" applyBorder="0" applyAlignment="0" applyProtection="0"/>
    <xf numFmtId="0" fontId="5" fillId="0" borderId="0"/>
    <xf numFmtId="0" fontId="5" fillId="0" borderId="0"/>
    <xf numFmtId="0" fontId="39" fillId="0" borderId="0"/>
    <xf numFmtId="9" fontId="5" fillId="0" borderId="0"/>
    <xf numFmtId="0" fontId="35" fillId="0" borderId="0"/>
    <xf numFmtId="0" fontId="35" fillId="0" borderId="0"/>
    <xf numFmtId="0" fontId="39" fillId="0" borderId="0"/>
    <xf numFmtId="0" fontId="39" fillId="0" borderId="0"/>
    <xf numFmtId="2" fontId="39" fillId="0" borderId="0"/>
    <xf numFmtId="10" fontId="39" fillId="0" borderId="0"/>
    <xf numFmtId="0" fontId="39" fillId="0" borderId="0"/>
    <xf numFmtId="0" fontId="39" fillId="0" borderId="0"/>
    <xf numFmtId="196" fontId="52" fillId="0" borderId="0" applyFont="0" applyFill="0" applyBorder="0" applyAlignment="0" applyProtection="0"/>
    <xf numFmtId="197" fontId="53" fillId="0" borderId="0" applyFont="0" applyBorder="0"/>
    <xf numFmtId="197"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4" fillId="35" borderId="0" applyNumberFormat="0" applyAlignment="0" applyProtection="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 fillId="0" borderId="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198" fontId="23" fillId="0" borderId="0" applyFont="0" applyFill="0" applyBorder="0" applyAlignment="0" applyProtection="0">
      <protection locked="0"/>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200" fontId="56" fillId="0" borderId="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 fillId="0" borderId="0"/>
    <xf numFmtId="0" fontId="22" fillId="11" borderId="0" applyNumberFormat="0" applyBorder="0" applyAlignment="0" applyProtection="0"/>
    <xf numFmtId="0" fontId="57" fillId="37" borderId="0"/>
    <xf numFmtId="0" fontId="58" fillId="12" borderId="0" applyNumberFormat="0" applyBorder="0" applyAlignment="0" applyProtection="0"/>
    <xf numFmtId="37" fontId="59" fillId="0" borderId="0">
      <alignment horizontal="center"/>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0" borderId="0" applyNumberFormat="0"/>
    <xf numFmtId="0" fontId="5" fillId="33" borderId="0"/>
    <xf numFmtId="9" fontId="39" fillId="0" borderId="0" applyFont="0" applyFill="0" applyBorder="0" applyAlignment="0" applyProtection="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0" fontId="5" fillId="0" borderId="22" applyFont="0" applyBorder="0"/>
    <xf numFmtId="41" fontId="30" fillId="0" borderId="0" applyFont="0" applyFill="0" applyBorder="0" applyAlignment="0" applyProtection="0"/>
    <xf numFmtId="201" fontId="30" fillId="0" borderId="0" applyFont="0" applyFill="0" applyBorder="0" applyAlignment="0" applyProtection="0"/>
    <xf numFmtId="43" fontId="30" fillId="0" borderId="0" applyFont="0" applyFill="0" applyBorder="0" applyAlignment="0" applyProtection="0"/>
    <xf numFmtId="42" fontId="30" fillId="0" borderId="0" applyFont="0" applyFill="0" applyBorder="0" applyAlignment="0" applyProtection="0"/>
    <xf numFmtId="202" fontId="30" fillId="0" borderId="0" applyFont="0" applyFill="0" applyBorder="0" applyAlignment="0" applyProtection="0"/>
    <xf numFmtId="44" fontId="30" fillId="0" borderId="0" applyFont="0" applyFill="0" applyBorder="0" applyAlignment="0" applyProtection="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203" fontId="62" fillId="0" borderId="0" applyFont="0" applyFill="0" applyBorder="0" applyAlignment="0" applyProtection="0"/>
    <xf numFmtId="204" fontId="43" fillId="38" borderId="23">
      <alignment horizontal="center" vertical="center"/>
    </xf>
    <xf numFmtId="204" fontId="43" fillId="38" borderId="23">
      <alignment horizontal="center" vertical="center"/>
    </xf>
    <xf numFmtId="0" fontId="63" fillId="37" borderId="0" applyNumberFormat="0" applyBorder="0" applyAlignment="0" applyProtection="0"/>
    <xf numFmtId="0" fontId="39" fillId="0" borderId="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0" applyBorder="0" applyAlignment="0"/>
    <xf numFmtId="0" fontId="64" fillId="33" borderId="18">
      <alignment horizontal="center"/>
    </xf>
    <xf numFmtId="0" fontId="65" fillId="0" borderId="0">
      <alignment horizontal="center" wrapText="1"/>
      <protection locked="0"/>
    </xf>
    <xf numFmtId="0" fontId="66" fillId="33" borderId="24" applyNumberFormat="0" applyAlignment="0" applyProtection="0"/>
    <xf numFmtId="0" fontId="66" fillId="33" borderId="24" applyNumberFormat="0" applyAlignment="0" applyProtection="0"/>
    <xf numFmtId="0" fontId="66" fillId="33" borderId="24" applyNumberFormat="0" applyAlignment="0" applyProtection="0"/>
    <xf numFmtId="37" fontId="52" fillId="0" borderId="2"/>
    <xf numFmtId="37" fontId="52" fillId="0" borderId="2"/>
    <xf numFmtId="37" fontId="52" fillId="0" borderId="2"/>
    <xf numFmtId="37" fontId="52" fillId="0" borderId="2"/>
    <xf numFmtId="0" fontId="5" fillId="0" borderId="0"/>
    <xf numFmtId="0" fontId="67" fillId="0" borderId="0"/>
    <xf numFmtId="0" fontId="52" fillId="39" borderId="0" applyNumberFormat="0" applyFont="0" applyBorder="0" applyAlignment="0" applyProtection="0"/>
    <xf numFmtId="205" fontId="32" fillId="0" borderId="2"/>
    <xf numFmtId="205" fontId="32" fillId="0" borderId="2"/>
    <xf numFmtId="205" fontId="32" fillId="0" borderId="2"/>
    <xf numFmtId="205" fontId="32" fillId="0" borderId="2"/>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0" fontId="68" fillId="0" borderId="25" applyFont="0" applyBorder="0" applyAlignment="0">
      <alignment vertical="center"/>
    </xf>
    <xf numFmtId="0" fontId="68" fillId="0" borderId="25" applyFont="0" applyBorder="0" applyAlignment="0">
      <alignment vertical="center"/>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69" fillId="0" borderId="0" applyNumberFormat="0" applyFill="0" applyBorder="0" applyAlignment="0" applyProtection="0">
      <alignment horizontal="center"/>
    </xf>
    <xf numFmtId="3" fontId="41" fillId="0" borderId="26" applyNumberFormat="0" applyFill="0" applyBorder="0" applyAlignment="0" applyProtection="0">
      <alignment horizontal="left"/>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70" fillId="0" borderId="0" applyNumberFormat="0" applyFill="0" applyBorder="0" applyAlignment="0" applyProtection="0"/>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0" fontId="70" fillId="0" borderId="0" applyNumberFormat="0" applyFill="0" applyBorder="0" applyAlignment="0" applyProtection="0"/>
    <xf numFmtId="0" fontId="72" fillId="0" borderId="0" applyNumberFormat="0" applyFill="0" applyBorder="0" applyAlignment="0" applyProtection="0"/>
    <xf numFmtId="209" fontId="73" fillId="0" borderId="28"/>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210" fontId="23" fillId="0" borderId="0">
      <alignment horizontal="center"/>
    </xf>
    <xf numFmtId="15" fontId="75" fillId="0" borderId="0" applyNumberFormat="0">
      <alignment horizontal="center"/>
    </xf>
    <xf numFmtId="0" fontId="76" fillId="0" borderId="29"/>
    <xf numFmtId="38" fontId="77" fillId="0" borderId="16" applyNumberFormat="0" applyFont="0" applyFill="0" applyAlignment="0" applyProtection="0">
      <alignment horizontal="right"/>
    </xf>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0"/>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0" fontId="65" fillId="0" borderId="31"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38" fontId="77" fillId="0" borderId="33" applyNumberFormat="0" applyFont="0" applyFill="0" applyAlignment="0" applyProtection="0">
      <alignment horizontal="right"/>
    </xf>
    <xf numFmtId="3" fontId="63" fillId="36" borderId="0" applyNumberFormat="0" applyBorder="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80" fillId="0" borderId="37"/>
    <xf numFmtId="0" fontId="80" fillId="0" borderId="37"/>
    <xf numFmtId="0" fontId="80" fillId="0" borderId="37"/>
    <xf numFmtId="0" fontId="81" fillId="0" borderId="38" applyFill="0" applyProtection="0">
      <alignment horizontal="right"/>
    </xf>
    <xf numFmtId="0" fontId="81" fillId="0" borderId="38" applyFill="0" applyProtection="0">
      <alignment horizontal="right"/>
    </xf>
    <xf numFmtId="0" fontId="81" fillId="0" borderId="38" applyFill="0" applyProtection="0">
      <alignment horizontal="right"/>
    </xf>
    <xf numFmtId="211" fontId="82" fillId="40" borderId="0" applyFont="0" applyFill="0" applyBorder="0" applyAlignment="0" applyProtection="0"/>
    <xf numFmtId="212" fontId="5" fillId="0" borderId="0" applyFont="0" applyFill="0" applyBorder="0" applyAlignment="0" applyProtection="0"/>
    <xf numFmtId="0" fontId="83" fillId="41" borderId="0"/>
    <xf numFmtId="0" fontId="83" fillId="42" borderId="0"/>
    <xf numFmtId="0" fontId="84" fillId="0" borderId="0"/>
    <xf numFmtId="0" fontId="84" fillId="0" borderId="0"/>
    <xf numFmtId="0" fontId="84" fillId="0" borderId="0"/>
    <xf numFmtId="0" fontId="83" fillId="43" borderId="0"/>
    <xf numFmtId="41" fontId="35" fillId="0" borderId="0" applyFill="0"/>
    <xf numFmtId="213" fontId="52" fillId="0" borderId="0">
      <alignment horizontal="center"/>
    </xf>
    <xf numFmtId="0" fontId="52" fillId="0" borderId="0" applyFill="0">
      <alignment horizontal="center"/>
    </xf>
    <xf numFmtId="41" fontId="74" fillId="0" borderId="29" applyFill="0"/>
    <xf numFmtId="0" fontId="5" fillId="0" borderId="0" applyFont="0" applyAlignment="0"/>
    <xf numFmtId="0" fontId="85" fillId="0" borderId="0" applyFill="0">
      <alignment vertical="top"/>
    </xf>
    <xf numFmtId="0" fontId="86" fillId="0" borderId="0" applyFill="0">
      <alignment horizontal="left" vertical="top"/>
    </xf>
    <xf numFmtId="41" fontId="74" fillId="0" borderId="39" applyFill="0"/>
    <xf numFmtId="41" fontId="74" fillId="0" borderId="39" applyFill="0"/>
    <xf numFmtId="41" fontId="74" fillId="0" borderId="39" applyFill="0"/>
    <xf numFmtId="41" fontId="74" fillId="0" borderId="39" applyFill="0"/>
    <xf numFmtId="41" fontId="74" fillId="0" borderId="39" applyFill="0"/>
    <xf numFmtId="41" fontId="74" fillId="0" borderId="39" applyFill="0"/>
    <xf numFmtId="0" fontId="5" fillId="0" borderId="0" applyNumberFormat="0" applyFont="0" applyAlignment="0"/>
    <xf numFmtId="0" fontId="85" fillId="0" borderId="0" applyFill="0">
      <alignment wrapText="1"/>
    </xf>
    <xf numFmtId="0" fontId="86" fillId="0" borderId="0" applyFill="0">
      <alignment horizontal="left" vertical="top" wrapText="1"/>
    </xf>
    <xf numFmtId="41" fontId="74" fillId="0" borderId="0" applyFill="0"/>
    <xf numFmtId="0" fontId="87" fillId="0" borderId="0" applyNumberFormat="0" applyFont="0" applyAlignment="0">
      <alignment horizontal="center"/>
    </xf>
    <xf numFmtId="0" fontId="88" fillId="0" borderId="0" applyFill="0">
      <alignment vertical="top" wrapText="1"/>
    </xf>
    <xf numFmtId="0" fontId="89" fillId="0" borderId="0" applyFill="0">
      <alignment horizontal="left" vertical="top" wrapText="1"/>
    </xf>
    <xf numFmtId="41" fontId="35" fillId="0" borderId="0" applyFill="0"/>
    <xf numFmtId="0" fontId="87" fillId="0" borderId="0" applyNumberFormat="0" applyFont="0" applyAlignment="0">
      <alignment horizontal="center"/>
    </xf>
    <xf numFmtId="0" fontId="90" fillId="0" borderId="0" applyFill="0">
      <alignment vertical="center" wrapText="1"/>
    </xf>
    <xf numFmtId="0" fontId="91" fillId="0" borderId="0">
      <alignment horizontal="left" vertical="center" wrapText="1"/>
    </xf>
    <xf numFmtId="41" fontId="35" fillId="0" borderId="0" applyFill="0"/>
    <xf numFmtId="0" fontId="87" fillId="0" borderId="0" applyNumberFormat="0" applyFont="0" applyAlignment="0">
      <alignment horizontal="center"/>
    </xf>
    <xf numFmtId="0" fontId="92" fillId="0" borderId="0" applyFill="0">
      <alignment horizontal="center" vertical="center" wrapText="1"/>
    </xf>
    <xf numFmtId="0" fontId="5" fillId="0" borderId="0" applyFill="0">
      <alignment horizontal="center" vertical="center" wrapText="1"/>
    </xf>
    <xf numFmtId="41" fontId="93" fillId="0" borderId="0" applyFill="0"/>
    <xf numFmtId="0" fontId="87" fillId="0" borderId="0" applyNumberFormat="0" applyFont="0" applyAlignment="0">
      <alignment horizontal="center"/>
    </xf>
    <xf numFmtId="0" fontId="94" fillId="0" borderId="0" applyFill="0">
      <alignment horizontal="center" vertical="center" wrapText="1"/>
    </xf>
    <xf numFmtId="0" fontId="95" fillId="0" borderId="0" applyFill="0">
      <alignment horizontal="center" vertical="center" wrapText="1"/>
    </xf>
    <xf numFmtId="41" fontId="93" fillId="0" borderId="0" applyFill="0"/>
    <xf numFmtId="0" fontId="87" fillId="0" borderId="0" applyNumberFormat="0" applyFont="0" applyAlignment="0">
      <alignment horizontal="center"/>
    </xf>
    <xf numFmtId="0" fontId="96" fillId="0" borderId="0">
      <alignment horizontal="center" wrapText="1"/>
    </xf>
    <xf numFmtId="0" fontId="97" fillId="0" borderId="0" applyFill="0">
      <alignment horizontal="center" wrapText="1"/>
    </xf>
    <xf numFmtId="214" fontId="52" fillId="44" borderId="18"/>
    <xf numFmtId="195" fontId="23" fillId="0" borderId="0" applyFill="0" applyBorder="0" applyAlignment="0"/>
    <xf numFmtId="209" fontId="67" fillId="0" borderId="0" applyFill="0" applyBorder="0" applyAlignment="0"/>
    <xf numFmtId="215" fontId="67" fillId="0" borderId="0" applyFill="0" applyBorder="0" applyAlignment="0"/>
    <xf numFmtId="216" fontId="5" fillId="0" borderId="0" applyFill="0" applyBorder="0" applyAlignment="0"/>
    <xf numFmtId="217" fontId="39"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37" fontId="5" fillId="45" borderId="2" applyFill="0" applyBorder="0"/>
    <xf numFmtId="37" fontId="5" fillId="45" borderId="2" applyFill="0" applyBorder="0"/>
    <xf numFmtId="37" fontId="5" fillId="45" borderId="2" applyFill="0" applyBorder="0"/>
    <xf numFmtId="37" fontId="5" fillId="45" borderId="2" applyFill="0" applyBorder="0"/>
    <xf numFmtId="37" fontId="5" fillId="45" borderId="2" applyFill="0" applyBorder="0"/>
    <xf numFmtId="181" fontId="5" fillId="0" borderId="0" applyFill="0" applyBorder="0"/>
    <xf numFmtId="39" fontId="5" fillId="0" borderId="0" applyFill="0" applyBorder="0"/>
    <xf numFmtId="219" fontId="5" fillId="0" borderId="0" applyFill="0" applyBorder="0"/>
    <xf numFmtId="220" fontId="5" fillId="0" borderId="0" applyFill="0" applyBorder="0"/>
    <xf numFmtId="221" fontId="5" fillId="0" borderId="0" applyFill="0" applyBorder="0"/>
    <xf numFmtId="222" fontId="5" fillId="0" borderId="0" applyFill="0" applyBorder="0"/>
    <xf numFmtId="223" fontId="5" fillId="0" borderId="0" applyFill="0" applyBorder="0"/>
    <xf numFmtId="224" fontId="5" fillId="0" borderId="0" applyFill="0" applyBorder="0"/>
    <xf numFmtId="202" fontId="5" fillId="0" borderId="18" applyFill="0" applyBorder="0"/>
    <xf numFmtId="9" fontId="5" fillId="0" borderId="0" applyFill="0" applyBorder="0"/>
    <xf numFmtId="173" fontId="5" fillId="0" borderId="0" applyFill="0" applyBorder="0"/>
    <xf numFmtId="10" fontId="5" fillId="0" borderId="0" applyFill="0" applyBorder="0"/>
    <xf numFmtId="3" fontId="98" fillId="0" borderId="0" applyNumberFormat="0" applyFill="0" applyBorder="0" applyAlignment="0" applyProtection="0"/>
    <xf numFmtId="206" fontId="99" fillId="0" borderId="0" applyFont="0" applyFill="0" applyBorder="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23" fillId="0" borderId="0" applyNumberFormat="0" applyProtection="0"/>
    <xf numFmtId="0" fontId="23" fillId="0" borderId="0" applyNumberFormat="0" applyProtection="0"/>
    <xf numFmtId="49" fontId="5" fillId="0" borderId="0">
      <alignment horizontal="left"/>
      <protection locked="0"/>
    </xf>
    <xf numFmtId="49" fontId="5" fillId="0" borderId="0">
      <alignment horizontal="left"/>
      <protection locked="0"/>
    </xf>
    <xf numFmtId="49" fontId="5" fillId="0" borderId="0">
      <alignment horizontal="left"/>
      <protection locked="0"/>
    </xf>
    <xf numFmtId="0" fontId="5" fillId="0" borderId="0" applyNumberFormat="0" applyFont="0" applyFill="0" applyBorder="0">
      <alignment horizontal="center"/>
    </xf>
    <xf numFmtId="39" fontId="5" fillId="0" borderId="0" applyFill="0" applyBorder="0">
      <alignment horizontal="center"/>
    </xf>
    <xf numFmtId="0" fontId="43" fillId="0" borderId="0" applyFill="0" applyBorder="0" applyProtection="0">
      <alignment horizontal="center"/>
      <protection locked="0"/>
    </xf>
    <xf numFmtId="0" fontId="52" fillId="0" borderId="0" applyFont="0" applyFill="0" applyBorder="0" applyAlignment="0" applyProtection="0"/>
    <xf numFmtId="0" fontId="52" fillId="0" borderId="0" applyFont="0" applyFill="0" applyBorder="0" applyAlignment="0" applyProtection="0"/>
    <xf numFmtId="8" fontId="5" fillId="0" borderId="40" applyFont="0" applyFill="0" applyBorder="0" applyProtection="0">
      <alignment horizontal="right"/>
    </xf>
    <xf numFmtId="225" fontId="100" fillId="0" borderId="0"/>
    <xf numFmtId="1" fontId="101" fillId="0" borderId="0"/>
    <xf numFmtId="0" fontId="5" fillId="0" borderId="0"/>
    <xf numFmtId="0" fontId="5" fillId="0" borderId="0"/>
    <xf numFmtId="0" fontId="5" fillId="0" borderId="0"/>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102" fillId="0" borderId="0"/>
    <xf numFmtId="0" fontId="52" fillId="0" borderId="0" applyNumberFormat="0" applyFill="0" applyBorder="0" applyAlignment="0" applyProtection="0"/>
    <xf numFmtId="0" fontId="10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26" fontId="104" fillId="0" borderId="0" applyFont="0" applyFill="0" applyBorder="0" applyAlignment="0" applyProtection="0">
      <alignment horizontal="left" vertical="center"/>
    </xf>
    <xf numFmtId="0" fontId="63" fillId="47" borderId="41" applyFont="0" applyFill="0" applyBorder="0"/>
    <xf numFmtId="0" fontId="52" fillId="0" borderId="15"/>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38" fontId="106" fillId="0" borderId="0" applyNumberFormat="0" applyFill="0" applyBorder="0" applyAlignment="0" applyProtection="0">
      <protection locked="0"/>
    </xf>
    <xf numFmtId="38" fontId="107" fillId="0" borderId="0" applyNumberFormat="0" applyFill="0" applyBorder="0" applyAlignment="0" applyProtection="0">
      <protection locked="0"/>
    </xf>
    <xf numFmtId="0" fontId="52" fillId="0" borderId="0" applyNumberFormat="0" applyFill="0" applyBorder="0" applyProtection="0">
      <alignment horizontal="center" wrapText="1"/>
    </xf>
    <xf numFmtId="0" fontId="39" fillId="0" borderId="0">
      <alignment horizontal="center" wrapText="1"/>
      <protection hidden="1"/>
    </xf>
    <xf numFmtId="38" fontId="108" fillId="0" borderId="0" applyNumberFormat="0" applyFill="0" applyBorder="0" applyAlignment="0" applyProtection="0">
      <protection locked="0"/>
    </xf>
    <xf numFmtId="4" fontId="63" fillId="48" borderId="41" applyNumberFormat="0" applyProtection="0">
      <alignment horizontal="right" wrapText="1"/>
    </xf>
    <xf numFmtId="227" fontId="109" fillId="0" borderId="0">
      <alignment horizontal="right"/>
    </xf>
    <xf numFmtId="228" fontId="5" fillId="0" borderId="0">
      <alignment horizontal="right"/>
    </xf>
    <xf numFmtId="228" fontId="5" fillId="0" borderId="0">
      <alignment horizontal="right"/>
    </xf>
    <xf numFmtId="38" fontId="39" fillId="0" borderId="0" applyFont="0" applyFill="0" applyBorder="0" applyAlignment="0" applyProtection="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06" fontId="23" fillId="0" borderId="0" applyFont="0" applyFill="0" applyBorder="0" applyAlignment="0" applyProtection="0">
      <protection locked="0"/>
    </xf>
    <xf numFmtId="40" fontId="23" fillId="0" borderId="0" applyFont="0" applyFill="0" applyBorder="0" applyAlignment="0" applyProtection="0">
      <protection locked="0"/>
    </xf>
    <xf numFmtId="230" fontId="32" fillId="0" borderId="0" applyFont="0" applyFill="0" applyBorder="0" applyProtection="0"/>
    <xf numFmtId="231" fontId="32" fillId="0" borderId="0" applyFont="0" applyFill="0" applyBorder="0" applyProtection="0"/>
    <xf numFmtId="41" fontId="5" fillId="0" borderId="0" applyFont="0" applyFill="0" applyBorder="0" applyAlignment="0" applyProtection="0"/>
    <xf numFmtId="42" fontId="39" fillId="0" borderId="0" applyFont="0" applyFill="0" applyBorder="0" applyAlignment="0" applyProtection="0"/>
    <xf numFmtId="0" fontId="111" fillId="0" borderId="0" applyFont="0" applyFill="0" applyBorder="0" applyAlignment="0" applyProtection="0">
      <alignment horizontal="right"/>
    </xf>
    <xf numFmtId="39" fontId="111" fillId="0" borderId="0" applyFont="0" applyFill="0" applyBorder="0" applyAlignment="0" applyProtection="0">
      <alignment horizontal="right"/>
    </xf>
    <xf numFmtId="232" fontId="5" fillId="0" borderId="0" applyFont="0" applyFill="0" applyBorder="0" applyAlignment="0" applyProtection="0">
      <alignment horizontal="right"/>
    </xf>
    <xf numFmtId="233" fontId="23" fillId="0" borderId="0" applyFont="0" applyFill="0" applyBorder="0" applyAlignment="0" applyProtection="0"/>
    <xf numFmtId="234" fontId="112" fillId="0" borderId="0" applyFont="0" applyFill="0" applyBorder="0" applyAlignment="0" applyProtection="0"/>
    <xf numFmtId="235" fontId="112" fillId="0" borderId="0" applyFont="0" applyFill="0" applyBorder="0" applyAlignment="0" applyProtection="0"/>
    <xf numFmtId="236" fontId="43" fillId="0" borderId="0" applyFont="0" applyFill="0" applyBorder="0" applyAlignment="0" applyProtection="0">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0" fontId="5" fillId="0" borderId="0" applyFont="0" applyFill="0" applyBorder="0" applyProtection="0">
      <alignment horizontal="right"/>
    </xf>
    <xf numFmtId="37" fontId="116" fillId="0" borderId="0" applyFont="0" applyFill="0" applyBorder="0" applyAlignment="0" applyProtection="0"/>
    <xf numFmtId="0" fontId="5" fillId="0" borderId="0" applyFont="0" applyFill="0" applyBorder="0" applyAlignment="0" applyProtection="0"/>
    <xf numFmtId="237" fontId="23" fillId="0" borderId="0"/>
    <xf numFmtId="238" fontId="5" fillId="0" borderId="0" applyFont="0" applyFill="0" applyBorder="0" applyAlignment="0" applyProtection="0"/>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0" fontId="5" fillId="0" borderId="0">
      <protection locked="0"/>
    </xf>
    <xf numFmtId="0" fontId="117" fillId="0" borderId="0"/>
    <xf numFmtId="0" fontId="38" fillId="0" borderId="0"/>
    <xf numFmtId="209" fontId="38" fillId="0" borderId="0"/>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3" fontId="118" fillId="0" borderId="0" applyFont="0" applyFill="0" applyBorder="0" applyAlignment="0" applyProtection="0"/>
    <xf numFmtId="240" fontId="5" fillId="0" borderId="0" applyFont="0" applyFill="0" applyBorder="0" applyAlignment="0" applyProtection="0">
      <alignment horizontal="left"/>
    </xf>
    <xf numFmtId="0" fontId="117" fillId="0" borderId="0"/>
    <xf numFmtId="0" fontId="38" fillId="0" borderId="0"/>
    <xf numFmtId="0" fontId="38" fillId="0" borderId="0"/>
    <xf numFmtId="240" fontId="5" fillId="0" borderId="0" applyFont="0" applyFill="0" applyBorder="0" applyAlignment="0" applyProtection="0">
      <alignment horizontal="left"/>
    </xf>
    <xf numFmtId="240" fontId="5" fillId="0" borderId="0" applyFont="0" applyFill="0" applyBorder="0" applyAlignment="0" applyProtection="0">
      <alignment horizontal="left"/>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pplyAlignment="0">
      <alignment horizontal="left"/>
    </xf>
    <xf numFmtId="241" fontId="5" fillId="0" borderId="0" applyFont="0" applyFill="0" applyBorder="0" applyAlignment="0" applyProtection="0">
      <alignment horizontal="left"/>
    </xf>
    <xf numFmtId="242" fontId="5" fillId="0" borderId="0" applyFont="0" applyFill="0" applyBorder="0" applyAlignment="0" applyProtection="0">
      <alignment horizontal="left"/>
    </xf>
    <xf numFmtId="242" fontId="5" fillId="0" borderId="0" applyFont="0" applyFill="0" applyBorder="0" applyAlignment="0" applyProtection="0">
      <alignment horizontal="left"/>
    </xf>
    <xf numFmtId="243" fontId="5" fillId="0" borderId="0">
      <alignment horizontal="right"/>
    </xf>
    <xf numFmtId="244" fontId="5" fillId="0" borderId="0">
      <alignment horizontal="right"/>
    </xf>
    <xf numFmtId="0" fontId="119" fillId="0" borderId="15" applyBorder="0" applyProtection="0"/>
    <xf numFmtId="0" fontId="120" fillId="49" borderId="0">
      <alignment horizontal="center" vertical="center" wrapText="1"/>
    </xf>
    <xf numFmtId="0" fontId="121" fillId="0" borderId="0" applyFill="0" applyBorder="0" applyAlignment="0" applyProtection="0">
      <protection locked="0"/>
    </xf>
    <xf numFmtId="0" fontId="120" fillId="49" borderId="0">
      <alignment horizontal="center" vertical="center" wrapText="1"/>
    </xf>
    <xf numFmtId="209" fontId="122" fillId="0" borderId="0" applyFill="0" applyBorder="0">
      <alignment horizontal="left"/>
    </xf>
    <xf numFmtId="10" fontId="5" fillId="0" borderId="0"/>
    <xf numFmtId="0" fontId="123" fillId="0" borderId="0" applyNumberFormat="0" applyAlignment="0">
      <alignment horizontal="left"/>
    </xf>
    <xf numFmtId="0" fontId="40" fillId="0" borderId="0" applyNumberFormat="0" applyAlignment="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5" fillId="47" borderId="43" applyNumberFormat="0" applyFill="0" applyBorder="0" applyAlignment="0" applyProtection="0">
      <alignment horizontal="center" textRotation="255"/>
    </xf>
    <xf numFmtId="245" fontId="5" fillId="0" borderId="0" applyFill="0" applyBorder="0">
      <alignment horizontal="right"/>
      <protection locked="0"/>
    </xf>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09" fontId="127" fillId="0" borderId="0"/>
    <xf numFmtId="209" fontId="127" fillId="0" borderId="0"/>
    <xf numFmtId="246" fontId="52" fillId="0" borderId="44" applyFont="0" applyFill="0" applyBorder="0" applyAlignment="0" applyProtection="0"/>
    <xf numFmtId="6" fontId="23" fillId="0" borderId="0" applyFont="0" applyFill="0" applyBorder="0" applyAlignment="0" applyProtection="0">
      <protection locked="0"/>
    </xf>
    <xf numFmtId="8" fontId="23" fillId="0" borderId="0" applyFont="0" applyFill="0" applyBorder="0" applyAlignment="0" applyProtection="0">
      <protection locked="0"/>
    </xf>
    <xf numFmtId="247" fontId="32" fillId="0" borderId="0" applyFont="0" applyFill="0" applyBorder="0" applyProtection="0"/>
    <xf numFmtId="248" fontId="32" fillId="0" borderId="0" applyFont="0" applyFill="0" applyBorder="0" applyProtection="0"/>
    <xf numFmtId="6" fontId="52" fillId="0" borderId="0">
      <alignment horizontal="center"/>
    </xf>
    <xf numFmtId="209" fontId="67" fillId="0" borderId="0" applyFont="0" applyFill="0" applyBorder="0" applyAlignment="0" applyProtection="0"/>
    <xf numFmtId="0" fontId="128" fillId="0" borderId="0" applyFont="0" applyFill="0" applyBorder="0" applyAlignment="0" applyProtection="0"/>
    <xf numFmtId="8" fontId="129" fillId="0" borderId="45">
      <protection locked="0"/>
    </xf>
    <xf numFmtId="8" fontId="129" fillId="0" borderId="45">
      <protection locked="0"/>
    </xf>
    <xf numFmtId="8" fontId="129" fillId="0" borderId="45">
      <protection locked="0"/>
    </xf>
    <xf numFmtId="249" fontId="5" fillId="0" borderId="0" applyFont="0" applyFill="0" applyBorder="0" applyAlignment="0" applyProtection="0">
      <alignment horizontal="right"/>
    </xf>
    <xf numFmtId="250" fontId="112" fillId="0" borderId="0" applyFont="0" applyFill="0" applyBorder="0" applyAlignment="0" applyProtection="0"/>
    <xf numFmtId="251" fontId="112" fillId="0" borderId="0" applyFont="0" applyFill="0" applyBorder="0" applyAlignment="0" applyProtection="0"/>
    <xf numFmtId="252" fontId="112" fillId="0" borderId="0" applyFont="0" applyFill="0" applyBorder="0" applyAlignment="0" applyProtection="0"/>
    <xf numFmtId="253" fontId="43" fillId="0" borderId="0" applyFont="0" applyFill="0" applyBorder="0" applyAlignment="0" applyProtection="0">
      <protection locked="0"/>
    </xf>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115" fillId="0" borderId="0" applyFont="0" applyFill="0" applyBorder="0" applyAlignment="0" applyProtection="0"/>
    <xf numFmtId="44" fontId="1" fillId="0" borderId="0" applyFont="0" applyFill="0" applyBorder="0" applyAlignment="0" applyProtection="0"/>
    <xf numFmtId="246" fontId="52" fillId="0" borderId="44"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9" fillId="37" borderId="0" applyFont="0" applyFill="0" applyBorder="0" applyAlignment="0" applyProtection="0"/>
    <xf numFmtId="8" fontId="39" fillId="37" borderId="0" applyFont="0" applyFill="0" applyBorder="0" applyAlignment="0" applyProtection="0"/>
    <xf numFmtId="254" fontId="130" fillId="0" borderId="0" applyFont="0" applyFill="0" applyBorder="0" applyAlignment="0" applyProtection="0"/>
    <xf numFmtId="255" fontId="5" fillId="0" borderId="0" applyFont="0" applyFill="0" applyBorder="0" applyAlignment="0" applyProtection="0"/>
    <xf numFmtId="0" fontId="52" fillId="0" borderId="44" applyFont="0" applyFill="0" applyBorder="0" applyAlignment="0" applyProtection="0"/>
    <xf numFmtId="0" fontId="5" fillId="0" borderId="0">
      <protection locked="0"/>
    </xf>
    <xf numFmtId="256" fontId="5" fillId="0" borderId="0" applyFont="0" applyFill="0" applyBorder="0" applyAlignment="0" applyProtection="0">
      <alignment horizontal="left"/>
    </xf>
    <xf numFmtId="202" fontId="5" fillId="0" borderId="0" applyFont="0" applyFill="0" applyBorder="0" applyAlignment="0" applyProtection="0">
      <alignment horizontal="left"/>
    </xf>
    <xf numFmtId="202" fontId="5" fillId="0" borderId="0" applyFont="0" applyFill="0" applyBorder="0" applyAlignment="0" applyProtection="0">
      <alignment horizontal="left"/>
    </xf>
    <xf numFmtId="257" fontId="113" fillId="0" borderId="0" applyFill="0" applyBorder="0" applyProtection="0">
      <alignment vertical="center"/>
    </xf>
    <xf numFmtId="258" fontId="5" fillId="0" borderId="0" applyFill="0" applyBorder="0">
      <alignment horizontal="right"/>
    </xf>
    <xf numFmtId="195" fontId="5" fillId="37" borderId="0"/>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3" fillId="0" borderId="0" applyNumberFormat="0" applyFill="0" applyBorder="0" applyAlignment="0" applyProtection="0">
      <alignment horizontal="right"/>
    </xf>
    <xf numFmtId="44" fontId="5" fillId="0" borderId="0" applyFont="0" applyFill="0" applyBorder="0" applyAlignment="0" applyProtection="0"/>
    <xf numFmtId="259" fontId="5" fillId="0" borderId="0" applyFont="0" applyFill="0" applyBorder="0" applyAlignment="0" applyProtection="0"/>
    <xf numFmtId="260" fontId="5" fillId="0" borderId="0" applyFont="0" applyFill="0" applyBorder="0" applyAlignment="0" applyProtection="0"/>
    <xf numFmtId="261" fontId="5" fillId="0" borderId="0" applyFont="0" applyFill="0" applyBorder="0" applyAlignment="0" applyProtection="0"/>
    <xf numFmtId="262" fontId="5" fillId="0" borderId="0" applyNumberFormat="0">
      <alignment horizontal="right"/>
    </xf>
    <xf numFmtId="237" fontId="5" fillId="0" borderId="2"/>
    <xf numFmtId="237" fontId="5" fillId="0" borderId="2"/>
    <xf numFmtId="237" fontId="5" fillId="0" borderId="2"/>
    <xf numFmtId="237" fontId="5" fillId="0" borderId="2"/>
    <xf numFmtId="237" fontId="5" fillId="0" borderId="2"/>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4" fontId="5" fillId="0" borderId="0" applyFont="0" applyFill="0" applyBorder="0" applyAlignment="0" applyProtection="0"/>
    <xf numFmtId="264" fontId="5" fillId="0" borderId="0" applyFont="0" applyFill="0" applyBorder="0" applyAlignment="0" applyProtection="0"/>
    <xf numFmtId="264" fontId="5" fillId="0" borderId="0" applyFont="0" applyFill="0" applyBorder="0" applyAlignment="0" applyProtection="0"/>
    <xf numFmtId="0" fontId="5" fillId="0" borderId="0">
      <protection locked="0"/>
    </xf>
    <xf numFmtId="0" fontId="38" fillId="0" borderId="0"/>
    <xf numFmtId="15" fontId="63" fillId="0" borderId="0" applyFill="0" applyBorder="0" applyAlignment="0"/>
    <xf numFmtId="265" fontId="63" fillId="33" borderId="0"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06" fontId="52" fillId="33" borderId="0" applyFont="0" applyFill="0" applyBorder="0" applyAlignment="0" applyProtection="0"/>
    <xf numFmtId="17" fontId="63" fillId="0" borderId="0" applyFill="0" applyBorder="0">
      <alignment horizontal="right"/>
    </xf>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8" fontId="52"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269" fontId="5" fillId="0" borderId="0" applyFont="0" applyFill="0" applyBorder="0" applyAlignment="0" applyProtection="0"/>
    <xf numFmtId="14" fontId="52" fillId="0" borderId="0" applyFont="0" applyFill="0" applyBorder="0" applyAlignment="0" applyProtection="0"/>
    <xf numFmtId="14" fontId="46" fillId="0" borderId="0" applyFill="0" applyBorder="0" applyAlignment="0"/>
    <xf numFmtId="14" fontId="64" fillId="0" borderId="0" applyFont="0" applyFill="0" applyBorder="0" applyAlignment="0"/>
    <xf numFmtId="14" fontId="5" fillId="0" borderId="0" applyFill="0" applyBorder="0">
      <alignment horizontal="center"/>
    </xf>
    <xf numFmtId="266" fontId="63" fillId="0" borderId="0" applyFill="0" applyBorder="0">
      <alignment horizontal="right"/>
    </xf>
    <xf numFmtId="270" fontId="5" fillId="0" borderId="0" applyFont="0" applyFill="0" applyBorder="0" applyAlignment="0" applyProtection="0"/>
    <xf numFmtId="17" fontId="135" fillId="33" borderId="0">
      <alignment horizontal="center"/>
      <protection locked="0"/>
    </xf>
    <xf numFmtId="271" fontId="65" fillId="0" borderId="0" applyFont="0" applyFill="0" applyBorder="0" applyAlignment="0" applyProtection="0">
      <alignment horizontal="center" vertical="center"/>
    </xf>
    <xf numFmtId="271" fontId="65" fillId="0" borderId="0" applyFont="0" applyFill="0" applyBorder="0" applyAlignment="0" applyProtection="0">
      <alignment horizontal="center" vertical="center"/>
    </xf>
    <xf numFmtId="14" fontId="99" fillId="0" borderId="0" applyFont="0" applyFill="0" applyBorder="0" applyAlignment="0" applyProtection="0">
      <alignment horizontal="center"/>
    </xf>
    <xf numFmtId="272" fontId="99" fillId="0" borderId="0" applyFont="0" applyFill="0" applyBorder="0" applyAlignment="0" applyProtection="0">
      <alignment horizontal="center"/>
    </xf>
    <xf numFmtId="0" fontId="80" fillId="0" borderId="46"/>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0" fontId="5" fillId="0" borderId="0"/>
    <xf numFmtId="273" fontId="100" fillId="0" borderId="0"/>
    <xf numFmtId="0" fontId="39" fillId="50" borderId="0"/>
    <xf numFmtId="0" fontId="136" fillId="37" borderId="0" applyNumberFormat="0" applyBorder="0" applyAlignment="0" applyProtection="0"/>
    <xf numFmtId="38" fontId="39" fillId="0" borderId="47">
      <alignment vertical="center"/>
    </xf>
    <xf numFmtId="274" fontId="5" fillId="0" borderId="0" applyFont="0" applyFill="0" applyBorder="0" applyAlignment="0" applyProtection="0"/>
    <xf numFmtId="275" fontId="5" fillId="0" borderId="0" applyFont="0" applyFill="0" applyBorder="0" applyAlignment="0" applyProtection="0"/>
    <xf numFmtId="1" fontId="69" fillId="0" borderId="48" applyNumberFormat="0">
      <alignment horizontal="center"/>
    </xf>
    <xf numFmtId="276" fontId="71" fillId="0" borderId="48">
      <alignment horizontal="center"/>
    </xf>
    <xf numFmtId="0" fontId="137" fillId="0" borderId="0">
      <protection locked="0"/>
    </xf>
    <xf numFmtId="0" fontId="138" fillId="0" borderId="0">
      <alignment horizontal="left" indent="1"/>
    </xf>
    <xf numFmtId="277" fontId="5" fillId="0" borderId="0"/>
    <xf numFmtId="278" fontId="5" fillId="0" borderId="0"/>
    <xf numFmtId="279" fontId="5" fillId="0" borderId="0"/>
    <xf numFmtId="279" fontId="139" fillId="51" borderId="0"/>
    <xf numFmtId="280" fontId="78" fillId="0" borderId="0" applyFont="0" applyFill="0" applyBorder="0" applyProtection="0"/>
    <xf numFmtId="281" fontId="78" fillId="0" borderId="0" applyFont="0" applyFill="0" applyBorder="0" applyProtection="0"/>
    <xf numFmtId="282" fontId="78" fillId="0" borderId="0" applyFont="0" applyFill="0" applyBorder="0" applyProtection="0"/>
    <xf numFmtId="277" fontId="5" fillId="0" borderId="0"/>
    <xf numFmtId="0" fontId="5" fillId="0" borderId="0" applyFill="0" applyBorder="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72" fillId="0" borderId="0" applyFont="0" applyFill="0" applyBorder="0" applyAlignment="0" applyProtection="0"/>
    <xf numFmtId="6" fontId="65" fillId="0" borderId="0" applyFont="0" applyFill="0" applyBorder="0" applyAlignment="0" applyProtection="0"/>
    <xf numFmtId="195" fontId="5" fillId="0" borderId="49" applyNumberFormat="0" applyFont="0" applyFill="0" applyAlignment="0" applyProtection="0"/>
    <xf numFmtId="0" fontId="80" fillId="0" borderId="46"/>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4" fontId="52" fillId="40" borderId="0" applyNumberFormat="0" applyBorder="0" applyAlignment="0" applyProtection="0">
      <alignment horizontal="right"/>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0" fontId="141" fillId="52" borderId="2">
      <protection locked="0"/>
    </xf>
    <xf numFmtId="0" fontId="141" fillId="52" borderId="2">
      <protection locked="0"/>
    </xf>
    <xf numFmtId="0" fontId="141" fillId="52" borderId="2">
      <protection locked="0"/>
    </xf>
    <xf numFmtId="0" fontId="141" fillId="52" borderId="2">
      <protection locked="0"/>
    </xf>
    <xf numFmtId="0" fontId="141" fillId="52" borderId="2">
      <protection locked="0"/>
    </xf>
    <xf numFmtId="285" fontId="142" fillId="0" borderId="50">
      <protection locked="0"/>
    </xf>
    <xf numFmtId="0" fontId="5" fillId="0" borderId="0" applyFont="0" applyBorder="0">
      <alignment horizontal="left" vertical="center" indent="1"/>
    </xf>
    <xf numFmtId="0" fontId="143" fillId="0" borderId="0">
      <protection locked="0"/>
    </xf>
    <xf numFmtId="0" fontId="143" fillId="0" borderId="0">
      <protection locked="0"/>
    </xf>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0" fontId="144" fillId="0" borderId="0" applyNumberFormat="0" applyAlignment="0">
      <alignment horizontal="left"/>
    </xf>
    <xf numFmtId="17" fontId="145" fillId="53" borderId="0">
      <alignment horizontal="left"/>
    </xf>
    <xf numFmtId="0" fontId="5" fillId="54" borderId="0" applyNumberFormat="0" applyBorder="0" applyAlignment="0" applyProtection="0"/>
    <xf numFmtId="0" fontId="146" fillId="55" borderId="0" applyNumberFormat="0" applyBorder="0" applyAlignment="0">
      <protection locked="0"/>
    </xf>
    <xf numFmtId="0" fontId="147" fillId="54" borderId="0" applyNumberFormat="0" applyBorder="0" applyAlignment="0">
      <protection locked="0"/>
    </xf>
    <xf numFmtId="0" fontId="148" fillId="0" borderId="0" applyNumberFormat="0" applyFill="0" applyBorder="0" applyAlignment="0" applyProtection="0"/>
    <xf numFmtId="0" fontId="148" fillId="54" borderId="0" applyNumberFormat="0" applyBorder="0" applyAlignment="0"/>
    <xf numFmtId="0" fontId="76" fillId="0" borderId="29"/>
    <xf numFmtId="0" fontId="53" fillId="54" borderId="0" applyNumberFormat="0" applyBorder="0" applyAlignment="0">
      <protection locked="0"/>
    </xf>
    <xf numFmtId="0" fontId="141" fillId="40" borderId="2">
      <protection hidden="1"/>
    </xf>
    <xf numFmtId="0" fontId="141" fillId="40" borderId="2">
      <protection hidden="1"/>
    </xf>
    <xf numFmtId="0" fontId="141" fillId="40" borderId="2">
      <protection hidden="1"/>
    </xf>
    <xf numFmtId="0" fontId="141" fillId="40" borderId="2">
      <protection hidden="1"/>
    </xf>
    <xf numFmtId="0" fontId="141" fillId="40" borderId="2">
      <protection hidden="1"/>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0" fontId="5" fillId="0" borderId="0" applyFont="0" applyFill="0" applyBorder="0" applyAlignment="0" applyProtection="0"/>
    <xf numFmtId="287" fontId="5" fillId="0" borderId="0" applyFont="0" applyFill="0" applyBorder="0" applyAlignment="0" applyProtection="0"/>
    <xf numFmtId="287" fontId="5" fillId="0" borderId="0" applyFont="0" applyFill="0" applyBorder="0" applyAlignment="0" applyProtection="0"/>
    <xf numFmtId="288" fontId="5" fillId="0" borderId="0"/>
    <xf numFmtId="288" fontId="139" fillId="51" borderId="0"/>
    <xf numFmtId="215" fontId="5" fillId="0" borderId="0" applyFont="0" applyFill="0" applyBorder="0" applyAlignment="0" applyProtection="0"/>
    <xf numFmtId="0" fontId="150" fillId="57" borderId="0" applyNumberFormat="0" applyBorder="0" applyAlignment="0" applyProtection="0">
      <alignment horizontal="center" vertical="center"/>
    </xf>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89" fontId="78" fillId="0" borderId="0" applyFont="0" applyFill="0" applyBorder="0" applyProtection="0"/>
    <xf numFmtId="290" fontId="78" fillId="0" borderId="0" applyFont="0" applyFill="0" applyBorder="0" applyProtection="0"/>
    <xf numFmtId="291" fontId="78" fillId="0" borderId="0" applyFont="0" applyFill="0" applyBorder="0" applyProtection="0"/>
    <xf numFmtId="0" fontId="137" fillId="0" borderId="0">
      <protection locked="0"/>
    </xf>
    <xf numFmtId="0" fontId="137" fillId="0" borderId="0">
      <protection locked="0"/>
    </xf>
    <xf numFmtId="0" fontId="151" fillId="0" borderId="0" applyBorder="0">
      <alignment horizontal="right"/>
    </xf>
    <xf numFmtId="0" fontId="23" fillId="0" borderId="0"/>
    <xf numFmtId="292" fontId="5" fillId="0" borderId="0"/>
    <xf numFmtId="292" fontId="5" fillId="0" borderId="0"/>
    <xf numFmtId="0" fontId="5" fillId="0" borderId="0">
      <protection locked="0"/>
    </xf>
    <xf numFmtId="245" fontId="5" fillId="0" borderId="0"/>
    <xf numFmtId="293" fontId="5" fillId="33" borderId="0" applyFont="0" applyFill="0" applyBorder="0" applyAlignment="0"/>
    <xf numFmtId="2" fontId="100" fillId="0" borderId="0"/>
    <xf numFmtId="206" fontId="38" fillId="0" borderId="0">
      <alignment horizontal="right"/>
    </xf>
    <xf numFmtId="0" fontId="38" fillId="0" borderId="0"/>
    <xf numFmtId="0" fontId="152" fillId="0" borderId="0" applyNumberFormat="0" applyFill="0" applyBorder="0" applyAlignment="0" applyProtection="0">
      <alignment vertical="top"/>
      <protection locked="0"/>
    </xf>
    <xf numFmtId="0" fontId="5" fillId="0" borderId="0" applyFill="0" applyBorder="0" applyProtection="0">
      <alignment horizontal="left"/>
    </xf>
    <xf numFmtId="0" fontId="153" fillId="0" borderId="0" applyNumberFormat="0" applyFill="0" applyBorder="0" applyAlignment="0" applyProtection="0"/>
    <xf numFmtId="0" fontId="154" fillId="0" borderId="0"/>
    <xf numFmtId="0" fontId="155" fillId="58" borderId="51" applyNumberFormat="0" applyAlignment="0">
      <protection locked="0"/>
    </xf>
    <xf numFmtId="0" fontId="155" fillId="58" borderId="51" applyNumberFormat="0" applyAlignment="0">
      <protection locked="0"/>
    </xf>
    <xf numFmtId="0" fontId="38" fillId="59" borderId="0"/>
    <xf numFmtId="294" fontId="5" fillId="0" borderId="0" applyFont="0" applyFill="0" applyBorder="0" applyAlignment="0" applyProtection="0"/>
    <xf numFmtId="294" fontId="5" fillId="0" borderId="0" applyFont="0" applyFill="0" applyBorder="0" applyAlignment="0" applyProtection="0"/>
    <xf numFmtId="294" fontId="5" fillId="0" borderId="0" applyFont="0" applyFill="0" applyBorder="0" applyAlignment="0" applyProtection="0"/>
    <xf numFmtId="0" fontId="38" fillId="0" borderId="0" applyFont="0" applyFill="0" applyBorder="0" applyAlignment="0" applyProtection="0"/>
    <xf numFmtId="37" fontId="5" fillId="0" borderId="0" applyFill="0" applyBorder="0">
      <alignment horizontal="right"/>
    </xf>
    <xf numFmtId="37" fontId="5" fillId="0" borderId="0" applyFill="0" applyBorder="0">
      <alignment horizontal="center"/>
    </xf>
    <xf numFmtId="37" fontId="5" fillId="0" borderId="0" applyFill="0" applyBorder="0">
      <alignment horizontal="right"/>
    </xf>
    <xf numFmtId="39" fontId="5" fillId="0" borderId="0" applyFill="0" applyBorder="0">
      <alignment horizontal="right"/>
    </xf>
    <xf numFmtId="219" fontId="5" fillId="0" borderId="0" applyFill="0" applyBorder="0">
      <alignment horizontal="right"/>
    </xf>
    <xf numFmtId="0" fontId="65" fillId="0" borderId="0" applyFont="0" applyFill="0" applyBorder="0" applyAlignment="0" applyProtection="0">
      <alignment horizontal="center" vertical="center"/>
    </xf>
    <xf numFmtId="0" fontId="65" fillId="0" borderId="0" applyFont="0" applyFill="0" applyBorder="0" applyAlignment="0" applyProtection="0">
      <alignment horizontal="center" vertical="center"/>
    </xf>
    <xf numFmtId="0" fontId="41" fillId="0" borderId="0" applyNumberFormat="0" applyAlignment="0" applyProtection="0">
      <alignment horizontal="center"/>
      <protection locked="0"/>
    </xf>
    <xf numFmtId="0" fontId="41" fillId="0" borderId="0" applyNumberFormat="0" applyAlignment="0" applyProtection="0">
      <alignment horizontal="center"/>
      <protection locked="0"/>
    </xf>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0" fontId="157" fillId="0" borderId="0" applyNumberFormat="0" applyFill="0" applyBorder="0" applyAlignment="0" applyProtection="0"/>
    <xf numFmtId="38" fontId="52" fillId="36" borderId="0" applyNumberFormat="0" applyBorder="0" applyAlignment="0" applyProtection="0"/>
    <xf numFmtId="1" fontId="158" fillId="36" borderId="0">
      <alignment horizontal="center"/>
      <protection locked="0" hidden="1"/>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0" fontId="43" fillId="0" borderId="52">
      <alignment horizontal="center"/>
    </xf>
    <xf numFmtId="296" fontId="159" fillId="0" borderId="0"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297" fontId="5" fillId="0" borderId="0" applyFont="0" applyFill="0" applyBorder="0" applyAlignment="0" applyProtection="0">
      <alignment horizontal="right"/>
    </xf>
    <xf numFmtId="38" fontId="160" fillId="0" borderId="0" applyNumberFormat="0" applyFill="0" applyBorder="0" applyAlignment="0" applyProtection="0"/>
    <xf numFmtId="0" fontId="83" fillId="60" borderId="0"/>
    <xf numFmtId="0" fontId="161" fillId="38" borderId="0">
      <alignment horizontal="left"/>
    </xf>
    <xf numFmtId="0" fontId="162" fillId="0" borderId="0" applyNumberFormat="0" applyFill="0" applyBorder="0" applyAlignment="0" applyProtection="0"/>
    <xf numFmtId="0" fontId="89" fillId="0" borderId="53" applyNumberFormat="0" applyAlignment="0" applyProtection="0">
      <alignment horizontal="left" vertical="center"/>
    </xf>
    <xf numFmtId="0" fontId="89" fillId="0" borderId="5">
      <alignment horizontal="left" vertical="center"/>
    </xf>
    <xf numFmtId="0" fontId="89" fillId="0" borderId="5">
      <alignment horizontal="left" vertical="center"/>
    </xf>
    <xf numFmtId="0" fontId="89" fillId="0" borderId="5">
      <alignment horizontal="left" vertical="center"/>
    </xf>
    <xf numFmtId="0" fontId="163" fillId="0" borderId="0">
      <alignment horizontal="center"/>
    </xf>
    <xf numFmtId="0" fontId="43" fillId="0" borderId="0">
      <alignment horizontal="right" wrapText="1"/>
    </xf>
    <xf numFmtId="0" fontId="43" fillId="0" borderId="0"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38" fillId="0" borderId="0">
      <protection locked="0"/>
    </xf>
    <xf numFmtId="0" fontId="38" fillId="0" borderId="0">
      <protection locked="0"/>
    </xf>
    <xf numFmtId="49" fontId="43" fillId="0" borderId="0"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17" fontId="5" fillId="0" borderId="0" applyFill="0" applyBorder="0">
      <alignment horizontal="center"/>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164" fillId="0" borderId="31">
      <alignment horizontal="center"/>
    </xf>
    <xf numFmtId="0" fontId="164" fillId="0" borderId="0">
      <alignment horizontal="center"/>
    </xf>
    <xf numFmtId="0" fontId="165" fillId="38" borderId="0" applyNumberFormat="0" applyFont="0" applyFill="0" applyBorder="0" applyAlignment="0">
      <alignment horizontal="centerContinuous"/>
    </xf>
    <xf numFmtId="0" fontId="166" fillId="62" borderId="0" applyNumberFormat="0" applyFont="0" applyBorder="0" applyAlignment="0" applyProtection="0"/>
    <xf numFmtId="0" fontId="146" fillId="0" borderId="55" applyNumberFormat="0" applyFill="0" applyAlignment="0" applyProtection="0"/>
    <xf numFmtId="37" fontId="167" fillId="0" borderId="0" applyNumberFormat="0" applyBorder="0">
      <alignment horizontal="center"/>
    </xf>
    <xf numFmtId="37" fontId="43" fillId="0" borderId="0"/>
    <xf numFmtId="0" fontId="168" fillId="0" borderId="0" applyNumberFormat="0" applyFill="0" applyBorder="0" applyAlignment="0" applyProtection="0">
      <alignment vertical="top"/>
      <protection locked="0"/>
    </xf>
    <xf numFmtId="298" fontId="169" fillId="0" borderId="0" applyNumberFormat="0" applyFill="0" applyBorder="0" applyAlignment="0" applyProtection="0"/>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37" fontId="146" fillId="0" borderId="0" applyFill="0" applyBorder="0">
      <protection locked="0"/>
    </xf>
    <xf numFmtId="181" fontId="146" fillId="0" borderId="0" applyFill="0" applyBorder="0">
      <protection locked="0"/>
    </xf>
    <xf numFmtId="39" fontId="146" fillId="0" borderId="0" applyFill="0" applyBorder="0">
      <protection locked="0"/>
    </xf>
    <xf numFmtId="219" fontId="146" fillId="0" borderId="0" applyFill="0" applyBorder="0">
      <protection locked="0"/>
    </xf>
    <xf numFmtId="220" fontId="146" fillId="0" borderId="0" applyFill="0" applyBorder="0">
      <protection locked="0"/>
    </xf>
    <xf numFmtId="221" fontId="146" fillId="0" borderId="0" applyFill="0" applyBorder="0">
      <protection locked="0"/>
    </xf>
    <xf numFmtId="222" fontId="5" fillId="0" borderId="0" applyFill="0" applyBorder="0">
      <protection locked="0"/>
    </xf>
    <xf numFmtId="223" fontId="5" fillId="0" borderId="0" applyFill="0" applyBorder="0">
      <protection locked="0"/>
    </xf>
    <xf numFmtId="224" fontId="5" fillId="0" borderId="0" applyFill="0" applyBorder="0">
      <protection locked="0"/>
    </xf>
    <xf numFmtId="202" fontId="5" fillId="0" borderId="0" applyFill="0" applyBorder="0">
      <protection locked="0"/>
    </xf>
    <xf numFmtId="242" fontId="5" fillId="0" borderId="0" applyFill="0" applyBorder="0">
      <protection locked="0"/>
    </xf>
    <xf numFmtId="9" fontId="146" fillId="0" borderId="0" applyFill="0" applyBorder="0">
      <protection locked="0"/>
    </xf>
    <xf numFmtId="173" fontId="146" fillId="0" borderId="0" applyFill="0" applyBorder="0">
      <protection locked="0"/>
    </xf>
    <xf numFmtId="10" fontId="146" fillId="0" borderId="0"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181" fontId="60" fillId="60" borderId="0"/>
    <xf numFmtId="0" fontId="170" fillId="63" borderId="0">
      <alignment horizontal="right"/>
    </xf>
    <xf numFmtId="8" fontId="52" fillId="33" borderId="0" applyFont="0" applyBorder="0" applyAlignment="0" applyProtection="0">
      <protection locked="0"/>
    </xf>
    <xf numFmtId="14" fontId="171" fillId="0" borderId="0"/>
    <xf numFmtId="279" fontId="139" fillId="51" borderId="0"/>
    <xf numFmtId="293" fontId="52" fillId="33" borderId="0" applyFont="0" applyBorder="0" applyAlignment="0">
      <protection locked="0"/>
    </xf>
    <xf numFmtId="0" fontId="171" fillId="0" borderId="0"/>
    <xf numFmtId="37" fontId="30" fillId="33" borderId="0"/>
    <xf numFmtId="37" fontId="37" fillId="33" borderId="0" applyFont="0" applyProtection="0"/>
    <xf numFmtId="37" fontId="30" fillId="33" borderId="0"/>
    <xf numFmtId="212" fontId="171" fillId="0" borderId="0">
      <alignment horizontal="right"/>
    </xf>
    <xf numFmtId="0" fontId="30" fillId="33" borderId="0"/>
    <xf numFmtId="10" fontId="52" fillId="33" borderId="0">
      <protection locked="0"/>
    </xf>
    <xf numFmtId="212" fontId="171" fillId="0" borderId="0">
      <alignment horizontal="right"/>
    </xf>
    <xf numFmtId="206" fontId="172" fillId="33" borderId="0" applyNumberFormat="0" applyBorder="0" applyAlignment="0">
      <protection locked="0"/>
    </xf>
    <xf numFmtId="0" fontId="5" fillId="0" borderId="0" applyNumberFormat="0" applyFill="0" applyBorder="0" applyAlignment="0">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299" fontId="173" fillId="0" borderId="0" applyFill="0" applyBorder="0" applyProtection="0">
      <alignment vertical="center"/>
    </xf>
    <xf numFmtId="257" fontId="173" fillId="0" borderId="0" applyFill="0" applyBorder="0" applyProtection="0">
      <alignment vertical="center"/>
    </xf>
    <xf numFmtId="300" fontId="173" fillId="0" borderId="0" applyFill="0" applyBorder="0" applyProtection="0">
      <alignment vertical="center"/>
    </xf>
    <xf numFmtId="301" fontId="173" fillId="0" borderId="0" applyFill="0" applyBorder="0" applyProtection="0">
      <alignment vertical="center"/>
    </xf>
    <xf numFmtId="302" fontId="5" fillId="0" borderId="0"/>
    <xf numFmtId="39" fontId="52" fillId="37" borderId="0"/>
    <xf numFmtId="38" fontId="174" fillId="0" borderId="0" applyNumberFormat="0" applyBorder="0" applyProtection="0">
      <alignment horizontal="left"/>
    </xf>
    <xf numFmtId="303" fontId="52" fillId="0" borderId="0" applyFill="0" applyBorder="0">
      <alignment horizontal="right"/>
      <protection locked="0"/>
    </xf>
    <xf numFmtId="0" fontId="26" fillId="42" borderId="30">
      <alignment horizontal="left" vertical="center" wrapText="1"/>
    </xf>
    <xf numFmtId="0" fontId="26" fillId="42" borderId="30">
      <alignment horizontal="left" vertical="center" wrapText="1"/>
    </xf>
    <xf numFmtId="0" fontId="26" fillId="42" borderId="30">
      <alignment horizontal="left" vertical="center" wrapText="1"/>
    </xf>
    <xf numFmtId="260" fontId="5" fillId="0" borderId="0" applyNumberFormat="0" applyFill="0" applyBorder="0" applyAlignment="0" applyProtection="0"/>
    <xf numFmtId="0" fontId="64" fillId="0" borderId="0" applyNumberFormat="0" applyFont="0" applyFill="0" applyBorder="0" applyAlignment="0" applyProtection="0"/>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151" fillId="0" borderId="5">
      <alignment horizontal="right"/>
    </xf>
    <xf numFmtId="0" fontId="151" fillId="0" borderId="5">
      <alignment horizontal="right"/>
    </xf>
    <xf numFmtId="0" fontId="151" fillId="0" borderId="5">
      <alignment horizontal="right"/>
    </xf>
    <xf numFmtId="2" fontId="32" fillId="37" borderId="0"/>
    <xf numFmtId="0" fontId="5" fillId="0" borderId="0" applyNumberFormat="0" applyFont="0" applyFill="0" applyBorder="0">
      <alignment horizontal="left"/>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5" fillId="48" borderId="56" applyNumberFormat="0" applyFont="0" applyBorder="0" applyAlignment="0">
      <alignment horizontal="center" vertical="top"/>
    </xf>
    <xf numFmtId="0" fontId="177" fillId="0" borderId="0"/>
    <xf numFmtId="0" fontId="178" fillId="0" borderId="0">
      <alignment horizontal="left" vertical="center" indent="1"/>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0">
      <alignment horizontal="right"/>
    </xf>
    <xf numFmtId="210" fontId="23" fillId="0" borderId="0">
      <alignment horizontal="left"/>
    </xf>
    <xf numFmtId="0" fontId="52" fillId="36" borderId="0"/>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181" fontId="179" fillId="41" borderId="0"/>
    <xf numFmtId="38" fontId="180" fillId="0" borderId="0" applyNumberFormat="0" applyFill="0" applyBorder="0" applyAlignment="0" applyProtection="0"/>
    <xf numFmtId="3" fontId="181" fillId="0" borderId="0" applyFill="0" applyBorder="0" applyAlignment="0" applyProtection="0"/>
    <xf numFmtId="9" fontId="63" fillId="36" borderId="0" applyNumberFormat="0" applyFont="0" applyBorder="0" applyAlignment="0">
      <protection locked="0"/>
    </xf>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0" fontId="149" fillId="0" borderId="0"/>
    <xf numFmtId="0" fontId="182" fillId="0" borderId="0"/>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296" fontId="183" fillId="0" borderId="0" applyFill="0" applyBorder="0" applyAlignment="0" applyProtection="0"/>
    <xf numFmtId="37" fontId="151" fillId="0" borderId="0" applyBorder="0">
      <alignment horizontal="right"/>
    </xf>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38" fontId="39" fillId="0" borderId="0" applyFont="0" applyFill="0" applyBorder="0" applyAlignment="0" applyProtection="0"/>
    <xf numFmtId="40" fontId="39" fillId="0" borderId="0" applyFont="0" applyFill="0" applyBorder="0" applyAlignment="0" applyProtection="0"/>
    <xf numFmtId="305" fontId="5" fillId="0" borderId="0" applyFont="0" applyFill="0" applyBorder="0" applyAlignment="0" applyProtection="0"/>
    <xf numFmtId="306" fontId="5" fillId="0" borderId="0" applyFont="0" applyFill="0" applyBorder="0" applyAlignment="0" applyProtection="0"/>
    <xf numFmtId="307" fontId="5" fillId="0" borderId="0" applyFont="0" applyFill="0" applyBorder="0" applyAlignment="0" applyProtection="0"/>
    <xf numFmtId="308" fontId="5" fillId="0" borderId="0" applyFont="0" applyFill="0" applyBorder="0" applyAlignment="0" applyProtection="0"/>
    <xf numFmtId="309" fontId="184" fillId="0" borderId="0" applyFont="0" applyFill="0" applyBorder="0"/>
    <xf numFmtId="310" fontId="5" fillId="0" borderId="0" applyFont="0" applyFill="0" applyBorder="0"/>
    <xf numFmtId="310" fontId="5" fillId="0" borderId="0" applyFont="0" applyFill="0" applyBorder="0"/>
    <xf numFmtId="311" fontId="5" fillId="0" borderId="0"/>
    <xf numFmtId="310" fontId="5" fillId="0" borderId="0" applyFont="0" applyFill="0" applyBorder="0"/>
    <xf numFmtId="312" fontId="5" fillId="0" borderId="0" applyFont="0" applyFill="0" applyBorder="0" applyAlignment="0" applyProtection="0"/>
    <xf numFmtId="313" fontId="5" fillId="0" borderId="0" applyFont="0" applyFill="0" applyBorder="0" applyAlignment="0" applyProtection="0"/>
    <xf numFmtId="314" fontId="5" fillId="0" borderId="0" applyFont="0" applyFill="0" applyBorder="0" applyAlignment="0" applyProtection="0"/>
    <xf numFmtId="308" fontId="5" fillId="0" borderId="0" applyFont="0" applyFill="0" applyBorder="0" applyAlignment="0" applyProtection="0"/>
    <xf numFmtId="0" fontId="137" fillId="0" borderId="0">
      <protection locked="0"/>
    </xf>
    <xf numFmtId="315" fontId="67" fillId="0" borderId="0" applyFont="0" applyFill="0" applyBorder="0" applyAlignment="0" applyProtection="0">
      <alignment horizontal="left" vertical="center"/>
    </xf>
    <xf numFmtId="237" fontId="5" fillId="0" borderId="0" applyFont="0" applyFill="0" applyBorder="0" applyAlignment="0" applyProtection="0"/>
    <xf numFmtId="316" fontId="5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7" fontId="78" fillId="0" borderId="0" applyFont="0" applyFill="0" applyBorder="0" applyProtection="0"/>
    <xf numFmtId="318" fontId="78" fillId="0" borderId="0" applyFont="0" applyFill="0" applyBorder="0" applyProtection="0"/>
    <xf numFmtId="209" fontId="5" fillId="0" borderId="0" applyFont="0" applyFill="0" applyBorder="0" applyAlignment="0" applyProtection="0"/>
    <xf numFmtId="300" fontId="113" fillId="0" borderId="0" applyFill="0" applyBorder="0" applyProtection="0">
      <alignment vertical="center"/>
    </xf>
    <xf numFmtId="213" fontId="5" fillId="0" borderId="57">
      <alignment horizontal="right"/>
    </xf>
    <xf numFmtId="319" fontId="52" fillId="36" borderId="0" applyFont="0" applyBorder="0" applyAlignment="0" applyProtection="0">
      <alignment horizontal="right"/>
      <protection hidden="1"/>
    </xf>
    <xf numFmtId="0" fontId="185" fillId="0" borderId="0"/>
    <xf numFmtId="0" fontId="11" fillId="5" borderId="0" applyNumberFormat="0" applyBorder="0" applyAlignment="0" applyProtection="0"/>
    <xf numFmtId="0" fontId="23" fillId="0" borderId="0"/>
    <xf numFmtId="0" fontId="186" fillId="0" borderId="58" applyNumberFormat="0" applyAlignment="0"/>
    <xf numFmtId="15" fontId="5" fillId="64" borderId="18" applyNumberFormat="0" applyBorder="0" applyAlignment="0">
      <alignment horizontal="center"/>
    </xf>
    <xf numFmtId="37" fontId="187" fillId="0" borderId="0"/>
    <xf numFmtId="0" fontId="5" fillId="0" borderId="59">
      <alignment horizontal="center"/>
    </xf>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320" fontId="78" fillId="0" borderId="0" applyFont="0" applyFill="0" applyBorder="0" applyProtection="0"/>
    <xf numFmtId="321" fontId="78" fillId="0" borderId="0" applyFont="0" applyFill="0" applyBorder="0" applyProtection="0"/>
    <xf numFmtId="322" fontId="78" fillId="0" borderId="0" applyFont="0" applyFill="0" applyBorder="0" applyProtection="0"/>
    <xf numFmtId="323" fontId="78" fillId="0" borderId="0" applyFont="0" applyFill="0" applyBorder="0" applyProtection="0"/>
    <xf numFmtId="324" fontId="78" fillId="0" borderId="0" applyFont="0" applyFill="0" applyBorder="0" applyProtection="0"/>
    <xf numFmtId="0" fontId="23" fillId="0" borderId="0"/>
    <xf numFmtId="325" fontId="52" fillId="0" borderId="0" applyFont="0" applyFill="0" applyBorder="0" applyAlignment="0" applyProtection="0">
      <alignment horizontal="right"/>
    </xf>
    <xf numFmtId="326" fontId="23" fillId="0" borderId="0"/>
    <xf numFmtId="0" fontId="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8" fontId="30" fillId="0" borderId="0" applyFont="0" applyFill="0" applyBorder="0" applyAlignment="0" applyProtection="0"/>
    <xf numFmtId="0" fontId="23" fillId="0" borderId="0" applyFont="0" applyFill="0" applyBorder="0" applyAlignment="0" applyProtection="0"/>
    <xf numFmtId="40" fontId="52" fillId="0" borderId="0" applyFont="0" applyFill="0" applyBorder="0" applyAlignment="0"/>
    <xf numFmtId="194" fontId="52" fillId="0" borderId="0" applyFont="0" applyFill="0" applyBorder="0" applyAlignment="0"/>
    <xf numFmtId="0" fontId="5" fillId="0" borderId="0"/>
    <xf numFmtId="0" fontId="1" fillId="0" borderId="0"/>
    <xf numFmtId="0" fontId="114"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alignment wrapText="1"/>
    </xf>
    <xf numFmtId="0" fontId="5" fillId="0" borderId="0">
      <alignment wrapText="1"/>
    </xf>
    <xf numFmtId="0" fontId="1" fillId="0" borderId="0"/>
    <xf numFmtId="0" fontId="5" fillId="0" borderId="0" applyNumberFormat="0" applyFill="0" applyBorder="0" applyAlignment="0" applyProtection="0"/>
    <xf numFmtId="0" fontId="5"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88" fillId="0" borderId="0"/>
    <xf numFmtId="0" fontId="114" fillId="0" borderId="0"/>
    <xf numFmtId="0" fontId="114" fillId="0" borderId="0"/>
    <xf numFmtId="0" fontId="114" fillId="0" borderId="0"/>
    <xf numFmtId="0" fontId="114" fillId="0" borderId="0"/>
    <xf numFmtId="0" fontId="1" fillId="0" borderId="0"/>
    <xf numFmtId="0" fontId="114" fillId="0" borderId="0"/>
    <xf numFmtId="0" fontId="1" fillId="0" borderId="0"/>
    <xf numFmtId="0" fontId="1" fillId="0" borderId="0"/>
    <xf numFmtId="0" fontId="188"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5" fillId="0" borderId="0"/>
    <xf numFmtId="0" fontId="1" fillId="0" borderId="0"/>
    <xf numFmtId="0" fontId="78" fillId="0" borderId="0"/>
    <xf numFmtId="0" fontId="114" fillId="0" borderId="0"/>
    <xf numFmtId="0" fontId="114" fillId="0" borderId="0"/>
    <xf numFmtId="0" fontId="114" fillId="0" borderId="0"/>
    <xf numFmtId="0" fontId="35" fillId="0" borderId="0"/>
    <xf numFmtId="0" fontId="5" fillId="0" borderId="0">
      <alignment vertical="center"/>
    </xf>
    <xf numFmtId="0" fontId="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 fillId="0" borderId="0"/>
    <xf numFmtId="0" fontId="1" fillId="0" borderId="0"/>
    <xf numFmtId="0" fontId="1" fillId="0" borderId="0"/>
    <xf numFmtId="0" fontId="1" fillId="0" borderId="0"/>
    <xf numFmtId="0" fontId="78" fillId="0" borderId="0"/>
    <xf numFmtId="0" fontId="114" fillId="0" borderId="0"/>
    <xf numFmtId="0" fontId="189" fillId="0" borderId="0"/>
    <xf numFmtId="0" fontId="2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14" fillId="0" borderId="0"/>
    <xf numFmtId="0" fontId="78" fillId="0" borderId="0"/>
    <xf numFmtId="0" fontId="114" fillId="0" borderId="0"/>
    <xf numFmtId="0" fontId="114" fillId="0" borderId="0"/>
    <xf numFmtId="0" fontId="114" fillId="0" borderId="0"/>
    <xf numFmtId="0" fontId="114" fillId="0" borderId="0"/>
    <xf numFmtId="0" fontId="114" fillId="0" borderId="0"/>
    <xf numFmtId="0" fontId="5" fillId="0" borderId="0"/>
    <xf numFmtId="0" fontId="5" fillId="0" borderId="0"/>
    <xf numFmtId="0" fontId="1" fillId="0" borderId="0"/>
    <xf numFmtId="0" fontId="114" fillId="0" borderId="0"/>
    <xf numFmtId="0" fontId="46" fillId="0" borderId="0">
      <alignment vertical="top"/>
    </xf>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 fillId="0" borderId="0"/>
    <xf numFmtId="0" fontId="1" fillId="0" borderId="0"/>
    <xf numFmtId="0" fontId="39" fillId="0" borderId="0"/>
    <xf numFmtId="206" fontId="63" fillId="0" borderId="0" applyNumberFormat="0" applyFill="0" applyBorder="0" applyAlignment="0" applyProtection="0"/>
    <xf numFmtId="38" fontId="190" fillId="0" borderId="0" applyFill="0" applyBorder="0" applyProtection="0"/>
    <xf numFmtId="206" fontId="63" fillId="0" borderId="0" applyNumberFormat="0" applyFill="0" applyBorder="0" applyAlignment="0" applyProtection="0"/>
    <xf numFmtId="327" fontId="52" fillId="0" borderId="0" applyFont="0" applyFill="0" applyBorder="0" applyAlignment="0" applyProtection="0"/>
    <xf numFmtId="328" fontId="5" fillId="52" borderId="5">
      <alignment horizontal="center"/>
    </xf>
    <xf numFmtId="328" fontId="5" fillId="52" borderId="5">
      <alignment horizontal="center"/>
    </xf>
    <xf numFmtId="328" fontId="5" fillId="52" borderId="5">
      <alignment horizontal="center"/>
    </xf>
    <xf numFmtId="328" fontId="5" fillId="0" borderId="0">
      <alignment horizontal="center"/>
    </xf>
    <xf numFmtId="329" fontId="5" fillId="0" borderId="0">
      <alignment horizontal="center"/>
    </xf>
    <xf numFmtId="330" fontId="52" fillId="0" borderId="0"/>
    <xf numFmtId="0" fontId="5" fillId="0" borderId="0" applyFont="0" applyAlignment="0">
      <alignment horizontal="center"/>
    </xf>
    <xf numFmtId="0" fontId="5" fillId="0" borderId="0" applyFont="0" applyAlignment="0">
      <alignment horizontal="center"/>
    </xf>
    <xf numFmtId="0" fontId="5" fillId="0" borderId="0" applyFont="0" applyAlignment="0">
      <alignment horizontal="center"/>
    </xf>
    <xf numFmtId="331" fontId="5" fillId="0" borderId="0"/>
    <xf numFmtId="6" fontId="191" fillId="0" borderId="0">
      <alignment horizontal="center"/>
    </xf>
    <xf numFmtId="0" fontId="39" fillId="0" borderId="0"/>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206" fontId="52" fillId="33" borderId="0">
      <protection locked="0"/>
    </xf>
    <xf numFmtId="0" fontId="52" fillId="33" borderId="0">
      <protection locked="0"/>
    </xf>
    <xf numFmtId="332" fontId="5" fillId="0" borderId="0">
      <alignment horizontal="center" vertical="center"/>
    </xf>
    <xf numFmtId="206" fontId="52" fillId="0" borderId="0"/>
    <xf numFmtId="333" fontId="5" fillId="0" borderId="0"/>
    <xf numFmtId="334" fontId="5" fillId="0" borderId="0">
      <protection locked="0"/>
    </xf>
    <xf numFmtId="335" fontId="52" fillId="0" borderId="0" applyFont="0" applyFill="0" applyBorder="0" applyAlignment="0" applyProtection="0"/>
    <xf numFmtId="336" fontId="52" fillId="0" borderId="0" applyFont="0" applyFill="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238" fontId="192" fillId="0" borderId="60" applyNumberFormat="0" applyBorder="0" applyAlignment="0" applyProtection="0">
      <alignment horizontal="center" vertical="center"/>
    </xf>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337" fontId="193" fillId="0" borderId="0"/>
    <xf numFmtId="40" fontId="194" fillId="0" borderId="0" applyFill="0" applyBorder="0" applyProtection="0"/>
    <xf numFmtId="338" fontId="52" fillId="0" borderId="0" applyFont="0" applyFill="0" applyBorder="0" applyAlignment="0" applyProtection="0"/>
    <xf numFmtId="38" fontId="195" fillId="0" borderId="0"/>
    <xf numFmtId="37" fontId="23" fillId="0" borderId="0"/>
    <xf numFmtId="0" fontId="5" fillId="0" borderId="0"/>
    <xf numFmtId="0" fontId="5" fillId="0" borderId="0"/>
    <xf numFmtId="339" fontId="78" fillId="0" borderId="0" applyFont="0" applyFill="0" applyBorder="0" applyProtection="0"/>
    <xf numFmtId="340" fontId="78" fillId="0" borderId="0" applyFont="0" applyFill="0" applyBorder="0" applyProtection="0"/>
    <xf numFmtId="341" fontId="78" fillId="0" borderId="0" applyFont="0" applyFill="0" applyBorder="0" applyProtection="0"/>
    <xf numFmtId="0" fontId="5" fillId="0" borderId="0"/>
    <xf numFmtId="342" fontId="5" fillId="0" borderId="0"/>
    <xf numFmtId="342" fontId="5" fillId="0" borderId="0"/>
    <xf numFmtId="342" fontId="5" fillId="0" borderId="0"/>
    <xf numFmtId="37" fontId="5" fillId="0" borderId="0"/>
    <xf numFmtId="343" fontId="5" fillId="0" borderId="0" applyNumberFormat="0" applyFill="0" applyBorder="0" applyAlignment="0" applyProtection="0"/>
    <xf numFmtId="0" fontId="63"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6"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234" fontId="5" fillId="0" borderId="0" applyNumberFormat="0" applyFill="0" applyBorder="0" applyAlignment="0" applyProtection="0"/>
    <xf numFmtId="4" fontId="5" fillId="0" borderId="0"/>
    <xf numFmtId="344" fontId="52" fillId="0" borderId="0" applyFont="0" applyFill="0" applyBorder="0" applyAlignment="0" applyProtection="0"/>
    <xf numFmtId="218" fontId="5" fillId="0" borderId="0" applyFont="0" applyFill="0" applyBorder="0" applyAlignment="0" applyProtection="0"/>
    <xf numFmtId="285" fontId="5" fillId="0" borderId="0" applyFont="0" applyFill="0" applyBorder="0" applyAlignment="0" applyProtection="0"/>
    <xf numFmtId="40" fontId="197" fillId="0" borderId="0" applyFont="0" applyFill="0" applyBorder="0" applyAlignment="0" applyProtection="0"/>
    <xf numFmtId="38" fontId="197" fillId="0" borderId="0" applyFont="0" applyFill="0" applyBorder="0" applyAlignment="0" applyProtection="0"/>
    <xf numFmtId="0" fontId="5" fillId="0" borderId="0">
      <alignment horizontal="left" vertical="top"/>
      <protection locked="0"/>
    </xf>
    <xf numFmtId="0" fontId="198" fillId="0" borderId="0">
      <alignment horizontal="left"/>
    </xf>
    <xf numFmtId="345" fontId="5" fillId="0" borderId="0"/>
    <xf numFmtId="345" fontId="5" fillId="0" borderId="0"/>
    <xf numFmtId="40" fontId="46" fillId="55" borderId="0">
      <alignment horizontal="right"/>
    </xf>
    <xf numFmtId="0" fontId="199" fillId="42" borderId="0">
      <alignment horizontal="center"/>
    </xf>
    <xf numFmtId="0" fontId="200" fillId="67" borderId="0"/>
    <xf numFmtId="0" fontId="201" fillId="0" borderId="0"/>
    <xf numFmtId="9" fontId="202" fillId="0" borderId="0" applyBorder="0">
      <alignment horizontal="right"/>
    </xf>
    <xf numFmtId="0" fontId="201" fillId="0" borderId="0"/>
    <xf numFmtId="0" fontId="203" fillId="55" borderId="0" applyBorder="0">
      <alignment horizontal="centerContinuous"/>
    </xf>
    <xf numFmtId="0" fontId="204" fillId="67" borderId="0" applyBorder="0">
      <alignment horizontal="centerContinuous"/>
    </xf>
    <xf numFmtId="216" fontId="5" fillId="0" borderId="0" applyFont="0" applyFill="0" applyBorder="0" applyAlignment="0" applyProtection="0"/>
    <xf numFmtId="346" fontId="5" fillId="0" borderId="0" applyFont="0" applyFill="0" applyBorder="0" applyAlignment="0" applyProtection="0"/>
    <xf numFmtId="0" fontId="38" fillId="68" borderId="0" applyNumberFormat="0" applyFont="0" applyBorder="0" applyAlignment="0" applyProtection="0"/>
    <xf numFmtId="0" fontId="38" fillId="69" borderId="0" applyNumberFormat="0" applyFont="0" applyBorder="0" applyAlignment="0" applyProtection="0"/>
    <xf numFmtId="0" fontId="38" fillId="70" borderId="0" applyNumberFormat="0" applyFont="0" applyBorder="0" applyAlignment="0" applyProtection="0">
      <alignment horizontal="center"/>
    </xf>
    <xf numFmtId="0" fontId="38" fillId="71" borderId="62" applyNumberFormat="0" applyFont="0" applyBorder="0" applyAlignment="0" applyProtection="0"/>
    <xf numFmtId="0" fontId="38" fillId="72" borderId="62" applyNumberFormat="0" applyFont="0" applyBorder="0" applyAlignment="0"/>
    <xf numFmtId="0" fontId="38" fillId="73" borderId="62" applyNumberFormat="0" applyFont="0" applyBorder="0" applyAlignment="0"/>
    <xf numFmtId="0" fontId="52" fillId="74" borderId="0" applyNumberFormat="0" applyFont="0" applyBorder="0" applyAlignment="0" applyProtection="0">
      <alignment horizontal="center"/>
      <protection hidden="1"/>
    </xf>
    <xf numFmtId="0" fontId="205" fillId="0" borderId="0" applyFill="0" applyBorder="0" applyProtection="0">
      <alignment horizontal="left"/>
    </xf>
    <xf numFmtId="0" fontId="206" fillId="0" borderId="0" applyFill="0" applyBorder="0" applyProtection="0">
      <alignment horizontal="left"/>
    </xf>
    <xf numFmtId="0" fontId="5" fillId="0" borderId="0"/>
    <xf numFmtId="0" fontId="207" fillId="0" borderId="0"/>
    <xf numFmtId="0" fontId="5" fillId="39" borderId="0" applyNumberFormat="0" applyFont="0" applyBorder="0" applyAlignment="0" applyProtection="0">
      <protection hidden="1"/>
    </xf>
    <xf numFmtId="0" fontId="5" fillId="75" borderId="0" applyNumberFormat="0" applyFont="0" applyBorder="0" applyAlignment="0" applyProtection="0">
      <protection hidden="1"/>
    </xf>
    <xf numFmtId="0" fontId="5" fillId="76" borderId="0" applyNumberFormat="0" applyFont="0" applyBorder="0" applyAlignment="0" applyProtection="0">
      <protection hidden="1"/>
    </xf>
    <xf numFmtId="0" fontId="5" fillId="77" borderId="0" applyNumberFormat="0" applyFont="0" applyBorder="0" applyAlignment="0" applyProtection="0">
      <protection hidden="1"/>
    </xf>
    <xf numFmtId="0" fontId="5" fillId="78" borderId="0" applyNumberFormat="0" applyFont="0" applyBorder="0" applyAlignment="0" applyProtection="0">
      <protection hidden="1"/>
    </xf>
    <xf numFmtId="0" fontId="5" fillId="79" borderId="0" applyNumberFormat="0" applyFont="0" applyBorder="0" applyAlignment="0" applyProtection="0">
      <protection hidden="1"/>
    </xf>
    <xf numFmtId="347" fontId="52" fillId="0" borderId="0"/>
    <xf numFmtId="10" fontId="195" fillId="0" borderId="0"/>
    <xf numFmtId="14" fontId="65" fillId="0" borderId="0">
      <alignment horizontal="center" wrapText="1"/>
      <protection locked="0"/>
    </xf>
    <xf numFmtId="10" fontId="38" fillId="0" borderId="0"/>
    <xf numFmtId="348" fontId="112" fillId="0" borderId="0" applyFont="0" applyFill="0" applyBorder="0" applyAlignment="0" applyProtection="0"/>
    <xf numFmtId="349" fontId="23" fillId="0" borderId="0" applyFont="0" applyFill="0" applyBorder="0" applyAlignment="0" applyProtection="0"/>
    <xf numFmtId="350" fontId="5" fillId="0" borderId="0" applyFont="0" applyFill="0" applyBorder="0" applyAlignment="0" applyProtection="0"/>
    <xf numFmtId="351" fontId="5" fillId="0" borderId="0" applyFont="0" applyFill="0" applyBorder="0" applyAlignment="0" applyProtection="0"/>
    <xf numFmtId="0" fontId="52" fillId="0" borderId="0"/>
    <xf numFmtId="352" fontId="5" fillId="0" borderId="0" applyFont="0"/>
    <xf numFmtId="10" fontId="23" fillId="0" borderId="0" applyFo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59" fontId="39" fillId="0" borderId="0" applyFont="0" applyFill="0" applyBorder="0" applyAlignment="0" applyProtection="0"/>
    <xf numFmtId="173" fontId="35" fillId="0" borderId="0" applyFont="0" applyFill="0" applyBorder="0" applyAlignment="0" applyProtection="0"/>
    <xf numFmtId="303" fontId="136" fillId="0" borderId="0" applyFill="0" applyBorder="0" applyAlignment="0" applyProtection="0"/>
    <xf numFmtId="173" fontId="35" fillId="0" borderId="0" applyFont="0" applyFill="0" applyBorder="0" applyAlignment="0" applyProtection="0"/>
    <xf numFmtId="353" fontId="136" fillId="33" borderId="2" applyFill="0" applyBorder="0" applyAlignment="0" applyProtection="0">
      <alignment horizontal="right"/>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0" fontId="23" fillId="33" borderId="0" applyFont="0" applyFill="0" applyBorder="0" applyAlignment="0" applyProtection="0"/>
    <xf numFmtId="0" fontId="23" fillId="33"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78"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354" fontId="65" fillId="0" borderId="0" applyFont="0" applyFill="0" applyBorder="0" applyProtection="0">
      <alignment horizontal="right"/>
    </xf>
    <xf numFmtId="355" fontId="5" fillId="0" borderId="0" applyFont="0" applyFill="0" applyBorder="0" applyAlignment="0" applyProtection="0"/>
    <xf numFmtId="355" fontId="5" fillId="0" borderId="0" applyFont="0" applyFill="0" applyBorder="0" applyAlignment="0" applyProtection="0"/>
    <xf numFmtId="355" fontId="5" fillId="0" borderId="0" applyFont="0" applyFill="0" applyBorder="0" applyAlignment="0" applyProtection="0"/>
    <xf numFmtId="173" fontId="5" fillId="0" borderId="0" applyFill="0" applyBorder="0"/>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10" fontId="80" fillId="37" borderId="0"/>
    <xf numFmtId="0" fontId="72" fillId="0" borderId="0"/>
    <xf numFmtId="0" fontId="208" fillId="0" borderId="0" applyNumberFormat="0"/>
    <xf numFmtId="357" fontId="104" fillId="0" borderId="0" applyFont="0" applyFill="0" applyBorder="0" applyAlignment="0" applyProtection="0">
      <alignment horizontal="left" vertical="center"/>
    </xf>
    <xf numFmtId="37" fontId="209" fillId="0" borderId="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26" fillId="0" borderId="31">
      <alignment horizontal="center"/>
    </xf>
    <xf numFmtId="3" fontId="39" fillId="0" borderId="0" applyFont="0" applyFill="0" applyBorder="0" applyAlignment="0" applyProtection="0"/>
    <xf numFmtId="0" fontId="39" fillId="47" borderId="0" applyNumberFormat="0" applyFont="0" applyBorder="0" applyAlignment="0" applyProtection="0"/>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37" fontId="52" fillId="48" borderId="0"/>
    <xf numFmtId="206" fontId="210" fillId="0" borderId="0" applyNumberFormat="0" applyFill="0" applyBorder="0" applyAlignment="0" applyProtection="0"/>
    <xf numFmtId="0" fontId="211" fillId="80" borderId="0" applyNumberFormat="0" applyFont="0" applyBorder="0" applyAlignment="0">
      <alignment horizontal="center"/>
    </xf>
    <xf numFmtId="0" fontId="209" fillId="0" borderId="0" applyNumberFormat="0" applyProtection="0">
      <alignment horizontal="center" wrapText="1"/>
    </xf>
    <xf numFmtId="0" fontId="209" fillId="0" borderId="0" applyNumberFormat="0" applyProtection="0">
      <alignment horizontal="center" wrapText="1"/>
    </xf>
    <xf numFmtId="263" fontId="154" fillId="0" borderId="0" applyNumberFormat="0" applyFill="0" applyBorder="0" applyAlignment="0" applyProtection="0">
      <alignment horizontal="left"/>
    </xf>
    <xf numFmtId="0" fontId="5" fillId="0" borderId="0" applyNumberFormat="0" applyFont="0" applyFill="0" applyBorder="0">
      <alignment horizontal="right"/>
    </xf>
    <xf numFmtId="49" fontId="43" fillId="52" borderId="5" applyNumberFormat="0">
      <alignment vertical="center"/>
    </xf>
    <xf numFmtId="49" fontId="43" fillId="52" borderId="5" applyNumberFormat="0">
      <alignment vertical="center"/>
    </xf>
    <xf numFmtId="49" fontId="43" fillId="52" borderId="5" applyNumberFormat="0">
      <alignment vertical="center"/>
    </xf>
    <xf numFmtId="210" fontId="23" fillId="0" borderId="0">
      <alignment horizontal="center"/>
    </xf>
    <xf numFmtId="0" fontId="188" fillId="0" borderId="0">
      <alignment wrapText="1"/>
    </xf>
    <xf numFmtId="0" fontId="188" fillId="0" borderId="0">
      <alignment wrapText="1"/>
    </xf>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09" fillId="37" borderId="0">
      <alignment horizontal="center" wrapText="1"/>
    </xf>
    <xf numFmtId="0" fontId="209" fillId="37" borderId="0">
      <alignment horizontal="center" wrapText="1"/>
    </xf>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23" fillId="81" borderId="0" applyNumberFormat="0" applyFont="0" applyBorder="0" applyAlignment="0" applyProtection="0"/>
    <xf numFmtId="0" fontId="211" fillId="1" borderId="5" applyNumberFormat="0" applyFont="0" applyAlignment="0">
      <alignment horizontal="center"/>
    </xf>
    <xf numFmtId="0" fontId="211" fillId="1" borderId="5" applyNumberFormat="0" applyFont="0" applyAlignment="0">
      <alignment horizontal="center"/>
    </xf>
    <xf numFmtId="0" fontId="211" fillId="1" borderId="5" applyNumberFormat="0" applyFont="0" applyAlignment="0">
      <alignment horizontal="center"/>
    </xf>
    <xf numFmtId="0" fontId="64" fillId="0" borderId="0"/>
    <xf numFmtId="0" fontId="5" fillId="0" borderId="0"/>
    <xf numFmtId="0" fontId="5" fillId="0" borderId="0"/>
    <xf numFmtId="0" fontId="5" fillId="0" borderId="0"/>
    <xf numFmtId="0" fontId="154" fillId="0" borderId="64"/>
    <xf numFmtId="0" fontId="212" fillId="0" borderId="0" applyNumberFormat="0" applyFill="0" applyBorder="0" applyAlignment="0">
      <alignment horizontal="center"/>
    </xf>
    <xf numFmtId="0" fontId="5" fillId="0" borderId="0" applyNumberFormat="0" applyFont="0" applyFill="0" applyBorder="0" applyAlignment="0" applyProtection="0"/>
    <xf numFmtId="270" fontId="5" fillId="0" borderId="0">
      <alignment horizontal="left"/>
    </xf>
    <xf numFmtId="0" fontId="40" fillId="0" borderId="0">
      <alignment vertical="center"/>
    </xf>
    <xf numFmtId="0" fontId="40" fillId="0" borderId="0">
      <alignment vertical="center"/>
    </xf>
    <xf numFmtId="0" fontId="35" fillId="0" borderId="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43" fillId="0" borderId="0" applyNumberFormat="0" applyFill="0" applyBorder="0" applyProtection="0">
      <alignment horizontal="left"/>
    </xf>
    <xf numFmtId="0" fontId="5" fillId="0" borderId="0" applyNumberFormat="0" applyFill="0" applyBorder="0" applyAlignment="0" applyProtection="0"/>
    <xf numFmtId="0" fontId="43" fillId="0" borderId="0" applyNumberFormat="0" applyFill="0" applyBorder="0" applyProtection="0">
      <alignment horizontal="center"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3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35" fillId="0" borderId="0"/>
    <xf numFmtId="0" fontId="35" fillId="0" borderId="0"/>
    <xf numFmtId="0" fontId="5" fillId="0" borderId="0"/>
    <xf numFmtId="0" fontId="5" fillId="0" borderId="0" applyNumberFormat="0" applyFill="0" applyBorder="0" applyAlignment="0" applyProtection="0"/>
    <xf numFmtId="0" fontId="35" fillId="0" borderId="0"/>
    <xf numFmtId="1" fontId="5" fillId="0" borderId="0" applyFill="0" applyBorder="0">
      <alignment horizontal="center"/>
    </xf>
    <xf numFmtId="0" fontId="46" fillId="0" borderId="0" applyNumberFormat="0" applyBorder="0" applyAlignment="0"/>
    <xf numFmtId="0" fontId="209" fillId="0" borderId="0">
      <alignment horizontal="left"/>
    </xf>
    <xf numFmtId="0" fontId="209" fillId="0" borderId="0">
      <alignment horizontal="left"/>
    </xf>
    <xf numFmtId="0" fontId="213" fillId="0" borderId="0"/>
    <xf numFmtId="241" fontId="43" fillId="0" borderId="5"/>
    <xf numFmtId="242" fontId="5" fillId="0" borderId="5"/>
    <xf numFmtId="242" fontId="5" fillId="0" borderId="5"/>
    <xf numFmtId="242" fontId="5" fillId="0" borderId="5"/>
    <xf numFmtId="242" fontId="5" fillId="0" borderId="5"/>
    <xf numFmtId="242" fontId="5" fillId="0" borderId="5"/>
    <xf numFmtId="242" fontId="5" fillId="0" borderId="5"/>
    <xf numFmtId="241" fontId="43" fillId="0" borderId="5"/>
    <xf numFmtId="241" fontId="43" fillId="0" borderId="5"/>
    <xf numFmtId="240" fontId="43" fillId="0" borderId="5" applyFill="0" applyAlignment="0" applyProtection="0">
      <alignment horizontal="left"/>
    </xf>
    <xf numFmtId="240" fontId="43" fillId="0" borderId="5" applyFill="0" applyAlignment="0" applyProtection="0">
      <alignment horizontal="left"/>
    </xf>
    <xf numFmtId="240" fontId="43" fillId="0" borderId="5" applyFill="0" applyAlignment="0" applyProtection="0">
      <alignment horizontal="left"/>
    </xf>
    <xf numFmtId="358" fontId="209"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358" fontId="209" fillId="33" borderId="2"/>
    <xf numFmtId="358" fontId="209" fillId="33" borderId="2"/>
    <xf numFmtId="358" fontId="209" fillId="33" borderId="2"/>
    <xf numFmtId="358" fontId="209" fillId="33" borderId="2"/>
    <xf numFmtId="0" fontId="214" fillId="0" borderId="65" applyNumberFormat="0" applyAlignment="0" applyProtection="0"/>
    <xf numFmtId="0" fontId="215" fillId="0" borderId="65" applyNumberFormat="0" applyAlignment="0" applyProtection="0">
      <alignment horizontal="left" vertical="top"/>
    </xf>
    <xf numFmtId="0" fontId="216" fillId="0" borderId="0" applyNumberFormat="0" applyProtection="0">
      <alignment horizontal="left" vertical="top"/>
    </xf>
    <xf numFmtId="0" fontId="5" fillId="0" borderId="0" applyNumberFormat="0" applyFont="0" applyAlignment="0" applyProtection="0"/>
    <xf numFmtId="0" fontId="216" fillId="0" borderId="0" applyNumberFormat="0" applyFill="0" applyBorder="0" applyProtection="0"/>
    <xf numFmtId="0" fontId="217" fillId="0" borderId="0" applyNumberFormat="0" applyFill="0" applyBorder="0" applyProtection="0">
      <alignmen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right" vertical="top"/>
    </xf>
    <xf numFmtId="0" fontId="218" fillId="0" borderId="5" applyNumberFormat="0" applyProtection="0">
      <alignment horizontal="right" vertical="top"/>
    </xf>
    <xf numFmtId="0" fontId="218" fillId="0" borderId="5" applyNumberFormat="0" applyProtection="0">
      <alignment horizontal="right" vertical="top"/>
    </xf>
    <xf numFmtId="0" fontId="215" fillId="0" borderId="0" applyNumberFormat="0" applyProtection="0">
      <alignment horizontal="left" vertical="top"/>
    </xf>
    <xf numFmtId="0" fontId="215" fillId="0" borderId="0"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5" fillId="0" borderId="66" applyNumberFormat="0" applyFont="0" applyAlignment="0" applyProtection="0"/>
    <xf numFmtId="0" fontId="5" fillId="0" borderId="57" applyNumberFormat="0" applyFont="0" applyAlignment="0" applyProtection="0"/>
    <xf numFmtId="0" fontId="5" fillId="0" borderId="67" applyNumberFormat="0" applyFont="0" applyAlignment="0" applyProtection="0"/>
    <xf numFmtId="10" fontId="219" fillId="0" borderId="0" applyNumberFormat="0" applyFill="0" applyBorder="0" applyProtection="0">
      <alignment horizontal="right" vertical="top"/>
    </xf>
    <xf numFmtId="0" fontId="215" fillId="0" borderId="5" applyNumberFormat="0" applyFill="0" applyAlignment="0" applyProtection="0"/>
    <xf numFmtId="0" fontId="215" fillId="0" borderId="5" applyNumberFormat="0" applyFill="0" applyAlignment="0" applyProtection="0"/>
    <xf numFmtId="0" fontId="215" fillId="0" borderId="5" applyNumberFormat="0" applyFill="0" applyAlignment="0" applyProtection="0"/>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20" fillId="0" borderId="0" applyFill="0" applyBorder="0" applyProtection="0">
      <alignment horizontal="center" vertical="center"/>
    </xf>
    <xf numFmtId="0" fontId="220" fillId="0" borderId="0" applyFill="0" applyBorder="0" applyProtection="0"/>
    <xf numFmtId="0" fontId="43" fillId="0" borderId="0" applyFill="0" applyBorder="0" applyProtection="0">
      <alignment horizontal="left"/>
    </xf>
    <xf numFmtId="0" fontId="221" fillId="0" borderId="0" applyFill="0" applyBorder="0" applyProtection="0">
      <alignment horizontal="left" vertical="top"/>
    </xf>
    <xf numFmtId="0" fontId="5" fillId="40" borderId="0" applyNumberFormat="0" applyBorder="0" applyProtection="0">
      <alignment vertical="top" wrapText="1"/>
    </xf>
    <xf numFmtId="0" fontId="5" fillId="40" borderId="0" applyNumberFormat="0" applyBorder="0" applyProtection="0">
      <alignment vertical="top" wrapText="1"/>
    </xf>
    <xf numFmtId="0" fontId="5" fillId="40" borderId="0" applyNumberFormat="0" applyBorder="0" applyProtection="0">
      <alignment vertical="top" wrapText="1"/>
    </xf>
    <xf numFmtId="49" fontId="5" fillId="82" borderId="0" applyFont="0" applyBorder="0" applyAlignment="0" applyProtection="0"/>
    <xf numFmtId="49" fontId="5" fillId="82" borderId="0" applyFont="0" applyBorder="0" applyAlignment="0" applyProtection="0"/>
    <xf numFmtId="49" fontId="5" fillId="82" borderId="0" applyFont="0" applyBorder="0" applyAlignment="0" applyProtection="0"/>
    <xf numFmtId="49" fontId="5" fillId="0" borderId="0"/>
    <xf numFmtId="49" fontId="5" fillId="0" borderId="0"/>
    <xf numFmtId="49" fontId="5" fillId="0" borderId="0"/>
    <xf numFmtId="0" fontId="5" fillId="0" borderId="0"/>
    <xf numFmtId="14" fontId="5" fillId="0" borderId="0"/>
    <xf numFmtId="168" fontId="5" fillId="0" borderId="0"/>
    <xf numFmtId="168" fontId="5" fillId="0" borderId="0"/>
    <xf numFmtId="38" fontId="222" fillId="0" borderId="0" applyNumberFormat="0" applyFill="0" applyBorder="0" applyProtection="0">
      <alignment horizontal="center"/>
    </xf>
    <xf numFmtId="0" fontId="89" fillId="0" borderId="0" applyNumberFormat="0" applyFill="0" applyBorder="0" applyAlignment="0" applyProtection="0"/>
    <xf numFmtId="0" fontId="89" fillId="0" borderId="0" applyNumberFormat="0" applyFill="0" applyBorder="0" applyAlignment="0" applyProtection="0"/>
    <xf numFmtId="0" fontId="223" fillId="0" borderId="0" applyNumberForma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37" fontId="224" fillId="0" borderId="0" applyNumberFormat="0">
      <alignment horizontal="center"/>
    </xf>
    <xf numFmtId="0" fontId="225"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3" fillId="37" borderId="0"/>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0" fontId="23" fillId="0" borderId="68">
      <alignment horizontal="right"/>
    </xf>
    <xf numFmtId="292" fontId="5" fillId="0" borderId="68">
      <alignment horizontal="right"/>
    </xf>
    <xf numFmtId="292" fontId="5" fillId="0" borderId="68">
      <alignment horizontal="right"/>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52" fillId="40" borderId="0" applyNumberFormat="0" applyBorder="0" applyAlignment="0" applyProtection="0"/>
    <xf numFmtId="37" fontId="52" fillId="0" borderId="0"/>
    <xf numFmtId="37" fontId="52" fillId="0" borderId="0"/>
    <xf numFmtId="3" fontId="134" fillId="0" borderId="55" applyProtection="0"/>
    <xf numFmtId="0" fontId="23" fillId="55" borderId="0" applyNumberFormat="0" applyFont="0" applyAlignment="0">
      <alignment horizontal="right"/>
    </xf>
    <xf numFmtId="224" fontId="184" fillId="0" borderId="0" applyFont="0" applyFill="0" applyBorder="0" applyAlignment="0" applyProtection="0"/>
    <xf numFmtId="359" fontId="5" fillId="0" borderId="0" applyFont="0" applyFill="0" applyBorder="0" applyAlignment="0" applyProtection="0"/>
    <xf numFmtId="359" fontId="5" fillId="0" borderId="0" applyFont="0" applyFill="0" applyBorder="0" applyAlignment="0" applyProtection="0"/>
    <xf numFmtId="0" fontId="39" fillId="83" borderId="0" applyNumberFormat="0" applyFont="0" applyBorder="0" applyAlignment="0" applyProtection="0">
      <protection locked="0"/>
    </xf>
    <xf numFmtId="0" fontId="39" fillId="83" borderId="0" applyNumberFormat="0" applyFont="0" applyBorder="0" applyAlignment="0" applyProtection="0">
      <protection locked="0"/>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227" fillId="33" borderId="14" applyNumberFormat="0" applyFill="0" applyBorder="0">
      <alignment horizontal="center"/>
    </xf>
    <xf numFmtId="0" fontId="227" fillId="33" borderId="14" applyNumberFormat="0" applyFill="0" applyBorder="0">
      <alignment horizontal="center"/>
    </xf>
    <xf numFmtId="0" fontId="227" fillId="33" borderId="14" applyNumberFormat="0" applyFill="0" applyBorder="0">
      <alignment horizontal="center"/>
    </xf>
    <xf numFmtId="209" fontId="65" fillId="0" borderId="0" applyFont="0" applyFill="0" applyBorder="0" applyProtection="0">
      <alignment horizontal="right"/>
    </xf>
    <xf numFmtId="0" fontId="25" fillId="0" borderId="0"/>
    <xf numFmtId="43" fontId="67" fillId="0" borderId="0" applyFont="0" applyFill="0" applyBorder="0" applyAlignment="0" applyProtection="0"/>
    <xf numFmtId="41" fontId="67" fillId="0" borderId="0" applyFont="0" applyFill="0" applyBorder="0" applyAlignment="0" applyProtection="0"/>
    <xf numFmtId="0" fontId="196" fillId="0" borderId="0"/>
    <xf numFmtId="44" fontId="67" fillId="0" borderId="0" applyFont="0" applyFill="0" applyBorder="0" applyAlignment="0" applyProtection="0"/>
    <xf numFmtId="42" fontId="67" fillId="0" borderId="0" applyFont="0" applyFill="0" applyBorder="0" applyAlignment="0" applyProtection="0"/>
    <xf numFmtId="0" fontId="228" fillId="0" borderId="0"/>
  </cellStyleXfs>
  <cellXfs count="82">
    <xf numFmtId="0" fontId="0" fillId="0" borderId="0" xfId="0"/>
    <xf numFmtId="0" fontId="3" fillId="0" borderId="2" xfId="0" applyFont="1" applyBorder="1" applyAlignment="1">
      <alignment horizontal="left" vertical="center" wrapText="1"/>
    </xf>
    <xf numFmtId="0" fontId="3" fillId="0" borderId="2" xfId="0" applyFont="1" applyBorder="1" applyAlignment="1">
      <alignment horizontal="left"/>
    </xf>
    <xf numFmtId="0" fontId="0" fillId="0" borderId="0" xfId="0" applyAlignment="1">
      <alignment vertical="top"/>
    </xf>
    <xf numFmtId="0" fontId="0" fillId="0" borderId="2" xfId="0" applyBorder="1"/>
    <xf numFmtId="0" fontId="0" fillId="0" borderId="2" xfId="0" applyBorder="1" applyAlignment="1">
      <alignment horizontal="center"/>
    </xf>
    <xf numFmtId="0" fontId="0" fillId="0" borderId="0" xfId="0" applyAlignment="1">
      <alignment wrapText="1"/>
    </xf>
    <xf numFmtId="0" fontId="3" fillId="0" borderId="2" xfId="0" applyFont="1" applyBorder="1" applyAlignment="1">
      <alignment horizontal="left" wrapText="1"/>
    </xf>
    <xf numFmtId="0" fontId="229" fillId="87" borderId="2" xfId="0" applyFont="1" applyFill="1" applyBorder="1" applyAlignment="1">
      <alignment horizontal="center" vertical="top"/>
    </xf>
    <xf numFmtId="0" fontId="229" fillId="87" borderId="2" xfId="0" applyFont="1" applyFill="1" applyBorder="1" applyAlignment="1">
      <alignment horizontal="center" vertical="top" wrapText="1"/>
    </xf>
    <xf numFmtId="0" fontId="2" fillId="0" borderId="0" xfId="0" applyFont="1"/>
    <xf numFmtId="0" fontId="229" fillId="88" borderId="2" xfId="0" applyFont="1" applyFill="1" applyBorder="1" applyAlignment="1">
      <alignment horizontal="center" vertical="top" wrapText="1"/>
    </xf>
    <xf numFmtId="0" fontId="229" fillId="88" borderId="2" xfId="0" applyFont="1" applyFill="1" applyBorder="1" applyAlignment="1">
      <alignment horizontal="center" vertical="top"/>
    </xf>
    <xf numFmtId="49" fontId="229" fillId="88" borderId="2" xfId="0" applyNumberFormat="1" applyFont="1" applyFill="1" applyBorder="1" applyAlignment="1">
      <alignment horizontal="center" vertical="top"/>
    </xf>
    <xf numFmtId="49" fontId="229" fillId="88" borderId="2" xfId="0" applyNumberFormat="1" applyFont="1" applyFill="1" applyBorder="1" applyAlignment="1">
      <alignment horizontal="center" vertical="top" wrapText="1"/>
    </xf>
    <xf numFmtId="0" fontId="229" fillId="84" borderId="2" xfId="0" applyFont="1" applyFill="1" applyBorder="1" applyAlignment="1">
      <alignment horizontal="center" vertical="top" wrapText="1"/>
    </xf>
    <xf numFmtId="0" fontId="229" fillId="84" borderId="26" xfId="0" applyFont="1" applyFill="1" applyBorder="1" applyAlignment="1">
      <alignment vertical="top" wrapText="1"/>
    </xf>
    <xf numFmtId="0" fontId="229" fillId="84" borderId="26" xfId="0" applyFont="1" applyFill="1" applyBorder="1" applyAlignment="1">
      <alignment vertical="top"/>
    </xf>
    <xf numFmtId="0" fontId="229" fillId="89" borderId="54" xfId="0" applyFont="1" applyFill="1" applyBorder="1" applyAlignment="1">
      <alignment vertical="top"/>
    </xf>
    <xf numFmtId="0" fontId="229" fillId="86" borderId="5" xfId="0" applyFont="1" applyFill="1" applyBorder="1" applyAlignment="1">
      <alignment horizontal="center" vertical="center" wrapText="1"/>
    </xf>
    <xf numFmtId="0" fontId="229" fillId="90" borderId="2" xfId="0" applyFont="1" applyFill="1" applyBorder="1" applyAlignment="1">
      <alignment horizontal="center" vertical="top" wrapText="1"/>
    </xf>
    <xf numFmtId="0" fontId="230" fillId="90" borderId="2" xfId="0" applyFont="1" applyFill="1" applyBorder="1" applyAlignment="1">
      <alignment horizontal="center" vertical="top" wrapText="1"/>
    </xf>
    <xf numFmtId="0" fontId="229" fillId="84" borderId="2" xfId="0" applyFont="1" applyFill="1" applyBorder="1" applyAlignment="1">
      <alignment vertical="top" wrapText="1"/>
    </xf>
    <xf numFmtId="0" fontId="0" fillId="0" borderId="2" xfId="0" applyBorder="1" applyAlignment="1">
      <alignment vertical="center" wrapText="1"/>
    </xf>
    <xf numFmtId="0" fontId="0" fillId="0" borderId="2" xfId="0" applyBorder="1" applyAlignment="1">
      <alignment vertical="center"/>
    </xf>
    <xf numFmtId="0" fontId="232"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left" vertical="top" wrapText="1"/>
    </xf>
    <xf numFmtId="0" fontId="3" fillId="0" borderId="2" xfId="0" applyFont="1" applyBorder="1" applyAlignment="1">
      <alignment vertical="center"/>
    </xf>
    <xf numFmtId="0" fontId="0" fillId="0" borderId="14" xfId="0" applyBorder="1" applyAlignment="1">
      <alignment vertical="center"/>
    </xf>
    <xf numFmtId="0" fontId="3" fillId="0" borderId="14" xfId="0" applyFont="1" applyBorder="1" applyAlignment="1">
      <alignment horizontal="left"/>
    </xf>
    <xf numFmtId="0" fontId="0" fillId="0" borderId="14" xfId="0" applyBorder="1" applyAlignment="1">
      <alignment vertical="center" wrapText="1"/>
    </xf>
    <xf numFmtId="0" fontId="0" fillId="0" borderId="14" xfId="0" applyBorder="1"/>
    <xf numFmtId="0" fontId="0" fillId="0" borderId="14" xfId="0" applyBorder="1" applyAlignment="1">
      <alignment horizontal="center"/>
    </xf>
    <xf numFmtId="0" fontId="232" fillId="0" borderId="14" xfId="0" applyFont="1" applyBorder="1" applyAlignment="1">
      <alignment horizontal="left" vertical="center" wrapText="1"/>
    </xf>
    <xf numFmtId="0" fontId="0" fillId="0" borderId="14" xfId="0" applyBorder="1" applyAlignment="1">
      <alignment horizontal="left" vertical="center" wrapText="1"/>
    </xf>
    <xf numFmtId="0" fontId="2" fillId="0" borderId="2" xfId="0" applyFont="1" applyBorder="1"/>
    <xf numFmtId="0" fontId="3" fillId="0" borderId="0" xfId="0" applyFont="1"/>
    <xf numFmtId="0" fontId="0" fillId="0" borderId="2" xfId="0" applyBorder="1" applyAlignment="1">
      <alignment wrapText="1"/>
    </xf>
    <xf numFmtId="0" fontId="231" fillId="0" borderId="0" xfId="0" applyFont="1" applyAlignment="1">
      <alignment horizontal="left" vertical="top" wrapText="1"/>
    </xf>
    <xf numFmtId="0" fontId="233" fillId="0" borderId="2" xfId="0" applyFont="1" applyBorder="1"/>
    <xf numFmtId="0" fontId="3" fillId="0" borderId="2" xfId="0" applyFont="1" applyBorder="1"/>
    <xf numFmtId="0" fontId="0" fillId="0" borderId="69" xfId="0" applyBorder="1"/>
    <xf numFmtId="0" fontId="234" fillId="0" borderId="2" xfId="0" applyFont="1" applyBorder="1"/>
    <xf numFmtId="0" fontId="235" fillId="91" borderId="2" xfId="0" applyFont="1" applyFill="1" applyBorder="1" applyAlignment="1">
      <alignment wrapText="1"/>
    </xf>
    <xf numFmtId="0" fontId="234" fillId="0" borderId="2" xfId="0" applyFont="1" applyBorder="1" applyAlignment="1">
      <alignment vertical="center"/>
    </xf>
    <xf numFmtId="0" fontId="17" fillId="0" borderId="2" xfId="0" applyFont="1" applyBorder="1"/>
    <xf numFmtId="0" fontId="229" fillId="92" borderId="2" xfId="0" applyFont="1" applyFill="1" applyBorder="1" applyAlignment="1">
      <alignment vertical="top" wrapText="1"/>
    </xf>
    <xf numFmtId="0" fontId="233" fillId="0" borderId="14" xfId="0" applyFont="1" applyBorder="1"/>
    <xf numFmtId="0" fontId="236" fillId="90" borderId="2" xfId="0" applyFont="1" applyFill="1" applyBorder="1" applyAlignment="1">
      <alignment horizontal="center" vertical="top" wrapText="1"/>
    </xf>
    <xf numFmtId="0" fontId="239" fillId="0" borderId="2" xfId="0" applyFont="1" applyBorder="1" applyAlignment="1">
      <alignment wrapText="1"/>
    </xf>
    <xf numFmtId="0" fontId="238" fillId="0" borderId="0" xfId="0" applyFont="1"/>
    <xf numFmtId="0" fontId="238" fillId="0" borderId="0" xfId="0" applyFont="1" applyAlignment="1">
      <alignment wrapText="1"/>
    </xf>
    <xf numFmtId="0" fontId="237" fillId="0" borderId="0" xfId="0" applyFont="1"/>
    <xf numFmtId="0" fontId="2" fillId="0" borderId="0" xfId="0" applyFont="1" applyAlignment="1">
      <alignment vertical="top"/>
    </xf>
    <xf numFmtId="0" fontId="229" fillId="86" borderId="5" xfId="0" applyFont="1" applyFill="1" applyBorder="1" applyAlignment="1">
      <alignment horizontal="center" vertical="top" wrapText="1"/>
    </xf>
    <xf numFmtId="0" fontId="3" fillId="0" borderId="2" xfId="0" applyFont="1" applyBorder="1" applyAlignment="1">
      <alignment horizontal="left" vertical="top"/>
    </xf>
    <xf numFmtId="0" fontId="240" fillId="0" borderId="2" xfId="0" applyFont="1" applyBorder="1" applyAlignment="1">
      <alignment horizontal="left" vertical="center" wrapText="1"/>
    </xf>
    <xf numFmtId="0" fontId="0" fillId="0" borderId="15" xfId="0" applyBorder="1" applyAlignment="1">
      <alignment vertical="center" wrapText="1"/>
    </xf>
    <xf numFmtId="0" fontId="2" fillId="0" borderId="2" xfId="0" applyFont="1" applyBorder="1" applyAlignment="1">
      <alignment vertical="center" wrapText="1"/>
    </xf>
    <xf numFmtId="0" fontId="0" fillId="0" borderId="2" xfId="0" applyBorder="1" applyAlignment="1">
      <alignment horizontal="center" wrapText="1"/>
    </xf>
    <xf numFmtId="0" fontId="0" fillId="0" borderId="4" xfId="0" applyBorder="1"/>
    <xf numFmtId="0" fontId="3" fillId="0" borderId="4" xfId="0" applyFont="1" applyBorder="1"/>
    <xf numFmtId="0" fontId="0" fillId="0" borderId="2" xfId="0" applyBorder="1" applyAlignment="1">
      <alignment vertical="top"/>
    </xf>
    <xf numFmtId="0" fontId="0" fillId="0" borderId="2" xfId="0" applyBorder="1" applyAlignment="1">
      <alignment horizontal="left"/>
    </xf>
    <xf numFmtId="0" fontId="0" fillId="0" borderId="2" xfId="0" applyBorder="1" applyAlignment="1">
      <alignment horizontal="left" wrapText="1"/>
    </xf>
    <xf numFmtId="0" fontId="0" fillId="93" borderId="2" xfId="0" applyFill="1" applyBorder="1" applyAlignment="1">
      <alignment horizontal="left" wrapText="1"/>
    </xf>
    <xf numFmtId="0" fontId="231" fillId="0" borderId="0" xfId="0" applyFont="1" applyAlignment="1">
      <alignment horizontal="left" vertical="top" wrapText="1"/>
    </xf>
    <xf numFmtId="0" fontId="229" fillId="86" borderId="4" xfId="0" applyFont="1" applyFill="1" applyBorder="1" applyAlignment="1">
      <alignment horizontal="center" vertical="center" wrapText="1"/>
    </xf>
    <xf numFmtId="0" fontId="229" fillId="86" borderId="5" xfId="0" applyFont="1" applyFill="1" applyBorder="1" applyAlignment="1">
      <alignment horizontal="center" vertical="center" wrapText="1"/>
    </xf>
    <xf numFmtId="0" fontId="229" fillId="86" borderId="69" xfId="0" applyFont="1" applyFill="1" applyBorder="1" applyAlignment="1">
      <alignment horizontal="center" vertical="center" wrapText="1"/>
    </xf>
    <xf numFmtId="0" fontId="229" fillId="84" borderId="4" xfId="0" applyFont="1" applyFill="1" applyBorder="1" applyAlignment="1">
      <alignment horizontal="center" vertical="center" wrapText="1"/>
    </xf>
    <xf numFmtId="0" fontId="229" fillId="84" borderId="69" xfId="0" applyFont="1" applyFill="1" applyBorder="1" applyAlignment="1">
      <alignment horizontal="center" vertical="center" wrapText="1"/>
    </xf>
    <xf numFmtId="0" fontId="229" fillId="85" borderId="4" xfId="0" applyFont="1" applyFill="1" applyBorder="1" applyAlignment="1">
      <alignment horizontal="center" vertical="center" wrapText="1"/>
    </xf>
    <xf numFmtId="0" fontId="229" fillId="85" borderId="5" xfId="0" applyFont="1" applyFill="1" applyBorder="1" applyAlignment="1">
      <alignment horizontal="center" vertical="center" wrapText="1"/>
    </xf>
    <xf numFmtId="0" fontId="229" fillId="85" borderId="69" xfId="0" applyFont="1" applyFill="1" applyBorder="1" applyAlignment="1">
      <alignment horizontal="center" vertical="center" wrapText="1"/>
    </xf>
    <xf numFmtId="0" fontId="0" fillId="0" borderId="4" xfId="0" applyBorder="1" applyAlignment="1">
      <alignment horizontal="left" vertical="top" wrapText="1"/>
    </xf>
    <xf numFmtId="0" fontId="0" fillId="0" borderId="69" xfId="0" applyBorder="1" applyAlignment="1">
      <alignment horizontal="left" vertical="top" wrapText="1"/>
    </xf>
    <xf numFmtId="0" fontId="0" fillId="0" borderId="4" xfId="0" applyBorder="1" applyAlignment="1">
      <alignment horizontal="left" vertical="center" wrapText="1"/>
    </xf>
    <xf numFmtId="0" fontId="0" fillId="0" borderId="69" xfId="0" applyBorder="1" applyAlignment="1">
      <alignment horizontal="left" vertical="center" wrapText="1"/>
    </xf>
    <xf numFmtId="0" fontId="0" fillId="0" borderId="2" xfId="0" applyBorder="1" applyAlignment="1">
      <alignment horizontal="left" vertical="top" wrapText="1"/>
    </xf>
    <xf numFmtId="0" fontId="0" fillId="0" borderId="2" xfId="0" applyBorder="1" applyAlignment="1">
      <alignment horizontal="left" vertical="center" wrapText="1"/>
    </xf>
  </cellXfs>
  <cellStyles count="3954">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3" xfId="1629" xr:uid="{00000000-0005-0000-0000-00002D060000}"/>
    <cellStyle name="10Q 2 3 2" xfId="1630" xr:uid="{00000000-0005-0000-0000-00002E060000}"/>
    <cellStyle name="10Q 2 4" xfId="1631" xr:uid="{00000000-0005-0000-0000-00002F060000}"/>
    <cellStyle name="10Q 3" xfId="1632" xr:uid="{00000000-0005-0000-0000-000030060000}"/>
    <cellStyle name="10Q 3 2" xfId="1633" xr:uid="{00000000-0005-0000-0000-000031060000}"/>
    <cellStyle name="10Q 4" xfId="1634" xr:uid="{00000000-0005-0000-0000-000032060000}"/>
    <cellStyle name="10Q 4 2" xfId="1635" xr:uid="{00000000-0005-0000-0000-000033060000}"/>
    <cellStyle name="10Q 5" xfId="1636" xr:uid="{00000000-0005-0000-0000-000034060000}"/>
    <cellStyle name="10Q 5 2" xfId="1637" xr:uid="{00000000-0005-0000-0000-000035060000}"/>
    <cellStyle name="10Q 6" xfId="1638" xr:uid="{00000000-0005-0000-0000-000036060000}"/>
    <cellStyle name="10Q 6 2" xfId="1639" xr:uid="{00000000-0005-0000-0000-000037060000}"/>
    <cellStyle name="10Q 7" xfId="1640" xr:uid="{00000000-0005-0000-0000-000038060000}"/>
    <cellStyle name="10Q 7 2" xfId="1641" xr:uid="{00000000-0005-0000-0000-000039060000}"/>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3" xfId="1735" xr:uid="{00000000-0005-0000-0000-0000A9060000}"/>
    <cellStyle name="ac 2 3 2" xfId="1736" xr:uid="{00000000-0005-0000-0000-0000AA060000}"/>
    <cellStyle name="ac 2 4" xfId="1737" xr:uid="{00000000-0005-0000-0000-0000AB060000}"/>
    <cellStyle name="ac 3" xfId="1738" xr:uid="{00000000-0005-0000-0000-0000AC060000}"/>
    <cellStyle name="ac 3 2" xfId="1739" xr:uid="{00000000-0005-0000-0000-0000AD060000}"/>
    <cellStyle name="ac 3 2 2" xfId="1740" xr:uid="{00000000-0005-0000-0000-0000AE060000}"/>
    <cellStyle name="ac 3 3" xfId="1741" xr:uid="{00000000-0005-0000-0000-0000AF060000}"/>
    <cellStyle name="ac 3 3 2" xfId="1742" xr:uid="{00000000-0005-0000-0000-0000B0060000}"/>
    <cellStyle name="ac 3 4" xfId="1743" xr:uid="{00000000-0005-0000-0000-0000B1060000}"/>
    <cellStyle name="ac 4" xfId="1744" xr:uid="{00000000-0005-0000-0000-0000B2060000}"/>
    <cellStyle name="ac 4 2" xfId="1745" xr:uid="{00000000-0005-0000-0000-0000B3060000}"/>
    <cellStyle name="ac 5" xfId="1746" xr:uid="{00000000-0005-0000-0000-0000B4060000}"/>
    <cellStyle name="ac 5 2" xfId="1747" xr:uid="{00000000-0005-0000-0000-0000B5060000}"/>
    <cellStyle name="ac 6" xfId="1748" xr:uid="{00000000-0005-0000-0000-0000B6060000}"/>
    <cellStyle name="ac 6 2" xfId="1749" xr:uid="{00000000-0005-0000-0000-0000B7060000}"/>
    <cellStyle name="ac 7" xfId="1750" xr:uid="{00000000-0005-0000-0000-0000B8060000}"/>
    <cellStyle name="ac 7 2" xfId="1751" xr:uid="{00000000-0005-0000-0000-0000B9060000}"/>
    <cellStyle name="ac 8" xfId="1752" xr:uid="{00000000-0005-0000-0000-0000BA060000}"/>
    <cellStyle name="ac 8 2" xfId="1753" xr:uid="{00000000-0005-0000-0000-0000BB060000}"/>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3" xfId="1761" xr:uid="{00000000-0005-0000-0000-0000C9060000}"/>
    <cellStyle name="accounting 2 2 3 2" xfId="1762" xr:uid="{00000000-0005-0000-0000-0000CA060000}"/>
    <cellStyle name="accounting 2 2 4" xfId="1763" xr:uid="{00000000-0005-0000-0000-0000CB060000}"/>
    <cellStyle name="accounting 2 3" xfId="1764" xr:uid="{00000000-0005-0000-0000-0000CC060000}"/>
    <cellStyle name="accounting 2 3 2" xfId="1765" xr:uid="{00000000-0005-0000-0000-0000CD060000}"/>
    <cellStyle name="accounting 2 3 2 2" xfId="1766" xr:uid="{00000000-0005-0000-0000-0000CE060000}"/>
    <cellStyle name="accounting 2 3 3" xfId="1767" xr:uid="{00000000-0005-0000-0000-0000CF060000}"/>
    <cellStyle name="accounting 2 3 3 2" xfId="1768" xr:uid="{00000000-0005-0000-0000-0000D0060000}"/>
    <cellStyle name="accounting 2 3 4" xfId="1769" xr:uid="{00000000-0005-0000-0000-0000D1060000}"/>
    <cellStyle name="accounting 2 4" xfId="1770" xr:uid="{00000000-0005-0000-0000-0000D2060000}"/>
    <cellStyle name="accounting 2 4 2" xfId="1771" xr:uid="{00000000-0005-0000-0000-0000D3060000}"/>
    <cellStyle name="accounting 2 5" xfId="1772" xr:uid="{00000000-0005-0000-0000-0000D4060000}"/>
    <cellStyle name="accounting 2 5 2" xfId="1773" xr:uid="{00000000-0005-0000-0000-0000D5060000}"/>
    <cellStyle name="accounting 2 6" xfId="1774" xr:uid="{00000000-0005-0000-0000-0000D6060000}"/>
    <cellStyle name="accounting 2 6 2" xfId="1775" xr:uid="{00000000-0005-0000-0000-0000D7060000}"/>
    <cellStyle name="accounting 2 7" xfId="1776" xr:uid="{00000000-0005-0000-0000-0000D8060000}"/>
    <cellStyle name="accounting 2 7 2" xfId="1777" xr:uid="{00000000-0005-0000-0000-0000D9060000}"/>
    <cellStyle name="accounting 2 8" xfId="1778" xr:uid="{00000000-0005-0000-0000-0000DA060000}"/>
    <cellStyle name="accounting 2 8 2" xfId="1779" xr:uid="{00000000-0005-0000-0000-0000DB060000}"/>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3" xfId="1784" xr:uid="{00000000-0005-0000-0000-0000E0060000}"/>
    <cellStyle name="accounting 3 2 3 2" xfId="1785" xr:uid="{00000000-0005-0000-0000-0000E1060000}"/>
    <cellStyle name="accounting 3 2 4" xfId="1786" xr:uid="{00000000-0005-0000-0000-0000E2060000}"/>
    <cellStyle name="accounting 3 3" xfId="1787" xr:uid="{00000000-0005-0000-0000-0000E3060000}"/>
    <cellStyle name="accounting 3 3 2" xfId="1788" xr:uid="{00000000-0005-0000-0000-0000E4060000}"/>
    <cellStyle name="accounting 3 3 2 2" xfId="1789" xr:uid="{00000000-0005-0000-0000-0000E5060000}"/>
    <cellStyle name="accounting 3 3 3" xfId="1790" xr:uid="{00000000-0005-0000-0000-0000E6060000}"/>
    <cellStyle name="accounting 3 3 3 2" xfId="1791" xr:uid="{00000000-0005-0000-0000-0000E7060000}"/>
    <cellStyle name="accounting 3 3 4" xfId="1792" xr:uid="{00000000-0005-0000-0000-0000E8060000}"/>
    <cellStyle name="accounting 3 4" xfId="1793" xr:uid="{00000000-0005-0000-0000-0000E9060000}"/>
    <cellStyle name="accounting 3 4 2" xfId="1794" xr:uid="{00000000-0005-0000-0000-0000EA060000}"/>
    <cellStyle name="accounting 3 5" xfId="1795" xr:uid="{00000000-0005-0000-0000-0000EB060000}"/>
    <cellStyle name="accounting 3 5 2" xfId="1796" xr:uid="{00000000-0005-0000-0000-0000EC060000}"/>
    <cellStyle name="accounting 3 6" xfId="1797" xr:uid="{00000000-0005-0000-0000-0000ED060000}"/>
    <cellStyle name="accounting 3 6 2" xfId="1798" xr:uid="{00000000-0005-0000-0000-0000EE060000}"/>
    <cellStyle name="accounting 3 7" xfId="1799" xr:uid="{00000000-0005-0000-0000-0000EF060000}"/>
    <cellStyle name="accounting 3 7 2" xfId="1800" xr:uid="{00000000-0005-0000-0000-0000F0060000}"/>
    <cellStyle name="accounting 3 8" xfId="1801" xr:uid="{00000000-0005-0000-0000-0000F1060000}"/>
    <cellStyle name="accounting 3 8 2" xfId="1802" xr:uid="{00000000-0005-0000-0000-0000F2060000}"/>
    <cellStyle name="accounting 4" xfId="1803" xr:uid="{00000000-0005-0000-0000-0000F3060000}"/>
    <cellStyle name="accounting 4 2" xfId="1804" xr:uid="{00000000-0005-0000-0000-0000F4060000}"/>
    <cellStyle name="accounting 4 2 2" xfId="1805" xr:uid="{00000000-0005-0000-0000-0000F5060000}"/>
    <cellStyle name="accounting 4 3" xfId="1806" xr:uid="{00000000-0005-0000-0000-0000F6060000}"/>
    <cellStyle name="accounting 4 3 2" xfId="1807" xr:uid="{00000000-0005-0000-0000-0000F7060000}"/>
    <cellStyle name="accounting 4 4" xfId="1808" xr:uid="{00000000-0005-0000-0000-0000F8060000}"/>
    <cellStyle name="accounting 5" xfId="1809" xr:uid="{00000000-0005-0000-0000-0000F9060000}"/>
    <cellStyle name="accounting 5 2" xfId="1810" xr:uid="{00000000-0005-0000-0000-0000FA060000}"/>
    <cellStyle name="accounting 5 2 2" xfId="1811" xr:uid="{00000000-0005-0000-0000-0000FB060000}"/>
    <cellStyle name="accounting 5 3" xfId="1812" xr:uid="{00000000-0005-0000-0000-0000FC060000}"/>
    <cellStyle name="accounting 5 3 2" xfId="1813" xr:uid="{00000000-0005-0000-0000-0000FD060000}"/>
    <cellStyle name="accounting 5 4" xfId="1814" xr:uid="{00000000-0005-0000-0000-0000FE060000}"/>
    <cellStyle name="accounting 6" xfId="1815" xr:uid="{00000000-0005-0000-0000-0000FF060000}"/>
    <cellStyle name="accounting 6 2" xfId="1816" xr:uid="{00000000-0005-0000-0000-000000070000}"/>
    <cellStyle name="accounting 7" xfId="1817" xr:uid="{00000000-0005-0000-0000-000001070000}"/>
    <cellStyle name="accounting 7 2" xfId="1818" xr:uid="{00000000-0005-0000-0000-000002070000}"/>
    <cellStyle name="accounting 8" xfId="1819" xr:uid="{00000000-0005-0000-0000-000003070000}"/>
    <cellStyle name="accounting 8 2" xfId="1820" xr:uid="{00000000-0005-0000-0000-000004070000}"/>
    <cellStyle name="accounting 9" xfId="1821" xr:uid="{00000000-0005-0000-0000-000005070000}"/>
    <cellStyle name="accounting 9 2" xfId="1822" xr:uid="{00000000-0005-0000-0000-000006070000}"/>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3" xfId="1901" xr:uid="{00000000-0005-0000-0000-000056070000}"/>
    <cellStyle name="Blue bold 2 2 3 2" xfId="1902" xr:uid="{00000000-0005-0000-0000-000057070000}"/>
    <cellStyle name="Blue bold 2 2 4" xfId="1903" xr:uid="{00000000-0005-0000-0000-000058070000}"/>
    <cellStyle name="Blue bold 2 3" xfId="1904" xr:uid="{00000000-0005-0000-0000-000059070000}"/>
    <cellStyle name="Blue bold 2 3 2" xfId="1905" xr:uid="{00000000-0005-0000-0000-00005A070000}"/>
    <cellStyle name="Blue bold 2 4" xfId="1906" xr:uid="{00000000-0005-0000-0000-00005B070000}"/>
    <cellStyle name="Blue bold 2 4 2" xfId="1907" xr:uid="{00000000-0005-0000-0000-00005C070000}"/>
    <cellStyle name="Blue bold 2 5" xfId="1908" xr:uid="{00000000-0005-0000-0000-00005D070000}"/>
    <cellStyle name="Blue bold 2 5 2" xfId="1909" xr:uid="{00000000-0005-0000-0000-00005E070000}"/>
    <cellStyle name="Blue bold 2 6" xfId="1910" xr:uid="{00000000-0005-0000-0000-00005F070000}"/>
    <cellStyle name="Blue bold 2 6 2" xfId="1911" xr:uid="{00000000-0005-0000-0000-000060070000}"/>
    <cellStyle name="Blue bold 2 7" xfId="1912" xr:uid="{00000000-0005-0000-0000-000061070000}"/>
    <cellStyle name="Blue bold 2 7 2" xfId="1913" xr:uid="{00000000-0005-0000-0000-000062070000}"/>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3" xfId="1918" xr:uid="{00000000-0005-0000-0000-000067070000}"/>
    <cellStyle name="Blue bold 3 2 3 2" xfId="1919" xr:uid="{00000000-0005-0000-0000-000068070000}"/>
    <cellStyle name="Blue bold 3 2 4" xfId="1920" xr:uid="{00000000-0005-0000-0000-000069070000}"/>
    <cellStyle name="Blue bold 3 3" xfId="1921" xr:uid="{00000000-0005-0000-0000-00006A070000}"/>
    <cellStyle name="Blue bold 3 3 2" xfId="1922" xr:uid="{00000000-0005-0000-0000-00006B070000}"/>
    <cellStyle name="Blue bold 3 4" xfId="1923" xr:uid="{00000000-0005-0000-0000-00006C070000}"/>
    <cellStyle name="Blue bold 3 4 2" xfId="1924" xr:uid="{00000000-0005-0000-0000-00006D070000}"/>
    <cellStyle name="Blue bold 3 5" xfId="1925" xr:uid="{00000000-0005-0000-0000-00006E070000}"/>
    <cellStyle name="Blue bold 3 5 2" xfId="1926" xr:uid="{00000000-0005-0000-0000-00006F070000}"/>
    <cellStyle name="Blue bold 3 6" xfId="1927" xr:uid="{00000000-0005-0000-0000-000070070000}"/>
    <cellStyle name="Blue bold 3 6 2" xfId="1928" xr:uid="{00000000-0005-0000-0000-000071070000}"/>
    <cellStyle name="Blue bold 3 7" xfId="1929" xr:uid="{00000000-0005-0000-0000-000072070000}"/>
    <cellStyle name="Blue bold 3 7 2" xfId="1930" xr:uid="{00000000-0005-0000-0000-000073070000}"/>
    <cellStyle name="Blue bold 4" xfId="1931" xr:uid="{00000000-0005-0000-0000-000074070000}"/>
    <cellStyle name="Blue bold 4 2" xfId="1932" xr:uid="{00000000-0005-0000-0000-000075070000}"/>
    <cellStyle name="Blue bold 4 2 2" xfId="1933" xr:uid="{00000000-0005-0000-0000-000076070000}"/>
    <cellStyle name="Blue bold 4 3" xfId="1934" xr:uid="{00000000-0005-0000-0000-000077070000}"/>
    <cellStyle name="Blue bold 4 3 2" xfId="1935" xr:uid="{00000000-0005-0000-0000-000078070000}"/>
    <cellStyle name="Blue bold 4 4" xfId="1936" xr:uid="{00000000-0005-0000-0000-000079070000}"/>
    <cellStyle name="Blue bold 5" xfId="1937" xr:uid="{00000000-0005-0000-0000-00007A070000}"/>
    <cellStyle name="Blue bold 5 2" xfId="1938" xr:uid="{00000000-0005-0000-0000-00007B070000}"/>
    <cellStyle name="Blue bold 6" xfId="1939" xr:uid="{00000000-0005-0000-0000-00007C070000}"/>
    <cellStyle name="Blue bold 6 2" xfId="1940" xr:uid="{00000000-0005-0000-0000-00007D070000}"/>
    <cellStyle name="Blue bold 7" xfId="1941" xr:uid="{00000000-0005-0000-0000-00007E070000}"/>
    <cellStyle name="Blue bold 7 2" xfId="1942" xr:uid="{00000000-0005-0000-0000-00007F070000}"/>
    <cellStyle name="Blue bold 8" xfId="1943" xr:uid="{00000000-0005-0000-0000-000080070000}"/>
    <cellStyle name="Blue bold 8 2" xfId="1944" xr:uid="{00000000-0005-0000-0000-000081070000}"/>
    <cellStyle name="Blue bold 9" xfId="1945" xr:uid="{00000000-0005-0000-0000-000082070000}"/>
    <cellStyle name="Blue bold 9 2" xfId="1946" xr:uid="{00000000-0005-0000-0000-000083070000}"/>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3" xfId="1954" xr:uid="{00000000-0005-0000-0000-00008B070000}"/>
    <cellStyle name="Bold/Border 2 3 2" xfId="1955" xr:uid="{00000000-0005-0000-0000-00008C070000}"/>
    <cellStyle name="Bold/Border 2 4" xfId="1956" xr:uid="{00000000-0005-0000-0000-00008D070000}"/>
    <cellStyle name="Bold/Border 3" xfId="1957" xr:uid="{00000000-0005-0000-0000-00008E070000}"/>
    <cellStyle name="Bold/Border 3 2" xfId="1958" xr:uid="{00000000-0005-0000-0000-00008F070000}"/>
    <cellStyle name="Bold/Border 3 2 2" xfId="1959" xr:uid="{00000000-0005-0000-0000-000090070000}"/>
    <cellStyle name="Bold/Border 3 3" xfId="1960" xr:uid="{00000000-0005-0000-0000-000091070000}"/>
    <cellStyle name="Bold/Border 3 3 2" xfId="1961" xr:uid="{00000000-0005-0000-0000-000092070000}"/>
    <cellStyle name="Bold/Border 3 4" xfId="1962" xr:uid="{00000000-0005-0000-0000-000093070000}"/>
    <cellStyle name="Bold/Border 4" xfId="1963" xr:uid="{00000000-0005-0000-0000-000094070000}"/>
    <cellStyle name="Bold/Border 4 2" xfId="1964" xr:uid="{00000000-0005-0000-0000-000095070000}"/>
    <cellStyle name="Bold/Border 5" xfId="1965" xr:uid="{00000000-0005-0000-0000-000096070000}"/>
    <cellStyle name="Bold/Border 5 2" xfId="1966" xr:uid="{00000000-0005-0000-0000-000097070000}"/>
    <cellStyle name="Bold/Border 6" xfId="1967" xr:uid="{00000000-0005-0000-0000-000098070000}"/>
    <cellStyle name="Bold/Border 6 2" xfId="1968" xr:uid="{00000000-0005-0000-0000-000099070000}"/>
    <cellStyle name="Bold/Border 7" xfId="1969" xr:uid="{00000000-0005-0000-0000-00009A070000}"/>
    <cellStyle name="Bold/Border 7 2" xfId="1970" xr:uid="{00000000-0005-0000-0000-00009B070000}"/>
    <cellStyle name="Bold/Border 8" xfId="1971" xr:uid="{00000000-0005-0000-0000-00009C070000}"/>
    <cellStyle name="Bold/Border 8 2" xfId="1972" xr:uid="{00000000-0005-0000-0000-00009D070000}"/>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1" xfId="1988" xr:uid="{00000000-0005-0000-0000-0000AD070000}"/>
    <cellStyle name="Border 11 2" xfId="1989" xr:uid="{00000000-0005-0000-0000-0000AE070000}"/>
    <cellStyle name="Border 12" xfId="1990" xr:uid="{00000000-0005-0000-0000-0000AF070000}"/>
    <cellStyle name="Border 12 2" xfId="1991" xr:uid="{00000000-0005-0000-0000-0000B0070000}"/>
    <cellStyle name="Border 13" xfId="1992" xr:uid="{00000000-0005-0000-0000-0000B1070000}"/>
    <cellStyle name="Border 13 2" xfId="1993" xr:uid="{00000000-0005-0000-0000-0000B2070000}"/>
    <cellStyle name="Border 14" xfId="1994" xr:uid="{00000000-0005-0000-0000-0000B3070000}"/>
    <cellStyle name="Border 14 2" xfId="1995" xr:uid="{00000000-0005-0000-0000-0000B4070000}"/>
    <cellStyle name="Border 15" xfId="1996" xr:uid="{00000000-0005-0000-0000-0000B5070000}"/>
    <cellStyle name="Border 15 2" xfId="1997" xr:uid="{00000000-0005-0000-0000-0000B6070000}"/>
    <cellStyle name="Border 16" xfId="1998" xr:uid="{00000000-0005-0000-0000-0000B7070000}"/>
    <cellStyle name="Border 16 2" xfId="1999" xr:uid="{00000000-0005-0000-0000-0000B8070000}"/>
    <cellStyle name="Border 17" xfId="2000" xr:uid="{00000000-0005-0000-0000-0000B9070000}"/>
    <cellStyle name="Border 17 2" xfId="2001" xr:uid="{00000000-0005-0000-0000-0000BA070000}"/>
    <cellStyle name="Border 18" xfId="2002" xr:uid="{00000000-0005-0000-0000-0000BB070000}"/>
    <cellStyle name="Border 18 2" xfId="2003" xr:uid="{00000000-0005-0000-0000-0000BC070000}"/>
    <cellStyle name="Border 19" xfId="2004" xr:uid="{00000000-0005-0000-0000-0000BD070000}"/>
    <cellStyle name="Border 19 2" xfId="2005" xr:uid="{00000000-0005-0000-0000-0000BE070000}"/>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3" xfId="2010" xr:uid="{00000000-0005-0000-0000-0000C3070000}"/>
    <cellStyle name="Border 2 2 3 2" xfId="2011" xr:uid="{00000000-0005-0000-0000-0000C4070000}"/>
    <cellStyle name="Border 2 2 4" xfId="2012" xr:uid="{00000000-0005-0000-0000-0000C5070000}"/>
    <cellStyle name="Border 2 3" xfId="2013" xr:uid="{00000000-0005-0000-0000-0000C6070000}"/>
    <cellStyle name="Border 2 3 2" xfId="2014" xr:uid="{00000000-0005-0000-0000-0000C7070000}"/>
    <cellStyle name="Border 2 4" xfId="2015" xr:uid="{00000000-0005-0000-0000-0000C8070000}"/>
    <cellStyle name="Border 2 4 2" xfId="2016" xr:uid="{00000000-0005-0000-0000-0000C9070000}"/>
    <cellStyle name="Border 2 5" xfId="2017" xr:uid="{00000000-0005-0000-0000-0000CA070000}"/>
    <cellStyle name="Border 2 5 2" xfId="2018" xr:uid="{00000000-0005-0000-0000-0000CB070000}"/>
    <cellStyle name="Border 2 6" xfId="2019" xr:uid="{00000000-0005-0000-0000-0000CC070000}"/>
    <cellStyle name="Border 2 6 2" xfId="2020" xr:uid="{00000000-0005-0000-0000-0000CD070000}"/>
    <cellStyle name="Border 2 7" xfId="2021" xr:uid="{00000000-0005-0000-0000-0000CE070000}"/>
    <cellStyle name="Border 2 7 2" xfId="2022" xr:uid="{00000000-0005-0000-0000-0000CF070000}"/>
    <cellStyle name="Border 20" xfId="2023" xr:uid="{00000000-0005-0000-0000-0000D0070000}"/>
    <cellStyle name="Border 20 2" xfId="2024" xr:uid="{00000000-0005-0000-0000-0000D1070000}"/>
    <cellStyle name="Border 21" xfId="2025" xr:uid="{00000000-0005-0000-0000-0000D2070000}"/>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3" xfId="2030" xr:uid="{00000000-0005-0000-0000-0000D7070000}"/>
    <cellStyle name="Border 3 2 3 2" xfId="2031" xr:uid="{00000000-0005-0000-0000-0000D8070000}"/>
    <cellStyle name="Border 3 2 4" xfId="2032" xr:uid="{00000000-0005-0000-0000-0000D9070000}"/>
    <cellStyle name="Border 3 3" xfId="2033" xr:uid="{00000000-0005-0000-0000-0000DA070000}"/>
    <cellStyle name="Border 3 3 2" xfId="2034" xr:uid="{00000000-0005-0000-0000-0000DB070000}"/>
    <cellStyle name="Border 3 4" xfId="2035" xr:uid="{00000000-0005-0000-0000-0000DC070000}"/>
    <cellStyle name="Border 3 4 2" xfId="2036" xr:uid="{00000000-0005-0000-0000-0000DD070000}"/>
    <cellStyle name="Border 3 5" xfId="2037" xr:uid="{00000000-0005-0000-0000-0000DE070000}"/>
    <cellStyle name="Border 3 5 2" xfId="2038" xr:uid="{00000000-0005-0000-0000-0000DF070000}"/>
    <cellStyle name="Border 3 6" xfId="2039" xr:uid="{00000000-0005-0000-0000-0000E0070000}"/>
    <cellStyle name="Border 3 6 2" xfId="2040" xr:uid="{00000000-0005-0000-0000-0000E1070000}"/>
    <cellStyle name="Border 3 7" xfId="2041" xr:uid="{00000000-0005-0000-0000-0000E2070000}"/>
    <cellStyle name="Border 3 7 2" xfId="2042" xr:uid="{00000000-0005-0000-0000-0000E3070000}"/>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3" xfId="2047" xr:uid="{00000000-0005-0000-0000-0000E8070000}"/>
    <cellStyle name="Border 4 2 3 2" xfId="2048" xr:uid="{00000000-0005-0000-0000-0000E9070000}"/>
    <cellStyle name="Border 4 2 4" xfId="2049" xr:uid="{00000000-0005-0000-0000-0000EA070000}"/>
    <cellStyle name="Border 4 3" xfId="2050" xr:uid="{00000000-0005-0000-0000-0000EB070000}"/>
    <cellStyle name="Border 4 3 2" xfId="2051" xr:uid="{00000000-0005-0000-0000-0000EC070000}"/>
    <cellStyle name="Border 4 4" xfId="2052" xr:uid="{00000000-0005-0000-0000-0000ED070000}"/>
    <cellStyle name="Border 4 4 2" xfId="2053" xr:uid="{00000000-0005-0000-0000-0000EE070000}"/>
    <cellStyle name="Border 4 5" xfId="2054" xr:uid="{00000000-0005-0000-0000-0000EF070000}"/>
    <cellStyle name="Border 4 5 2" xfId="2055" xr:uid="{00000000-0005-0000-0000-0000F0070000}"/>
    <cellStyle name="Border 4 6" xfId="2056" xr:uid="{00000000-0005-0000-0000-0000F1070000}"/>
    <cellStyle name="Border 4 6 2" xfId="2057" xr:uid="{00000000-0005-0000-0000-0000F2070000}"/>
    <cellStyle name="Border 4 7" xfId="2058" xr:uid="{00000000-0005-0000-0000-0000F3070000}"/>
    <cellStyle name="Border 4 7 2" xfId="2059" xr:uid="{00000000-0005-0000-0000-0000F4070000}"/>
    <cellStyle name="Border 5" xfId="2060" xr:uid="{00000000-0005-0000-0000-0000F5070000}"/>
    <cellStyle name="Border 5 2" xfId="2061" xr:uid="{00000000-0005-0000-0000-0000F6070000}"/>
    <cellStyle name="Border 5 2 2" xfId="2062" xr:uid="{00000000-0005-0000-0000-0000F7070000}"/>
    <cellStyle name="Border 5 3" xfId="2063" xr:uid="{00000000-0005-0000-0000-0000F8070000}"/>
    <cellStyle name="Border 5 3 2" xfId="2064" xr:uid="{00000000-0005-0000-0000-0000F9070000}"/>
    <cellStyle name="Border 5 4" xfId="2065" xr:uid="{00000000-0005-0000-0000-0000FA070000}"/>
    <cellStyle name="Border 6" xfId="2066" xr:uid="{00000000-0005-0000-0000-0000FB070000}"/>
    <cellStyle name="Border 6 2" xfId="2067" xr:uid="{00000000-0005-0000-0000-0000FC070000}"/>
    <cellStyle name="Border 7" xfId="2068" xr:uid="{00000000-0005-0000-0000-0000FD070000}"/>
    <cellStyle name="Border 7 2" xfId="2069" xr:uid="{00000000-0005-0000-0000-0000FE070000}"/>
    <cellStyle name="Border 8" xfId="2070" xr:uid="{00000000-0005-0000-0000-0000FF070000}"/>
    <cellStyle name="Border 8 2" xfId="2071" xr:uid="{00000000-0005-0000-0000-000000080000}"/>
    <cellStyle name="Border 9" xfId="2072" xr:uid="{00000000-0005-0000-0000-000001080000}"/>
    <cellStyle name="Border 9 2" xfId="2073" xr:uid="{00000000-0005-0000-0000-000002080000}"/>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3" xfId="2292" xr:uid="{00000000-0005-0000-0000-0000DF080000}"/>
    <cellStyle name="COL HEADINGS 2 3 2" xfId="2293" xr:uid="{00000000-0005-0000-0000-0000E0080000}"/>
    <cellStyle name="COL HEADINGS 2 4" xfId="2294" xr:uid="{00000000-0005-0000-0000-0000E1080000}"/>
    <cellStyle name="COL HEADINGS 3" xfId="2295" xr:uid="{00000000-0005-0000-0000-0000E2080000}"/>
    <cellStyle name="COL HEADINGS 3 2" xfId="2296" xr:uid="{00000000-0005-0000-0000-0000E3080000}"/>
    <cellStyle name="COL HEADINGS 4" xfId="2297" xr:uid="{00000000-0005-0000-0000-0000E4080000}"/>
    <cellStyle name="COL HEADINGS 4 2" xfId="2298" xr:uid="{00000000-0005-0000-0000-0000E5080000}"/>
    <cellStyle name="COL HEADINGS 5" xfId="2299" xr:uid="{00000000-0005-0000-0000-0000E6080000}"/>
    <cellStyle name="COL HEADINGS 5 2" xfId="2300" xr:uid="{00000000-0005-0000-0000-0000E7080000}"/>
    <cellStyle name="COL HEADINGS 6" xfId="2301" xr:uid="{00000000-0005-0000-0000-0000E8080000}"/>
    <cellStyle name="COL HEADINGS 6 2" xfId="2302" xr:uid="{00000000-0005-0000-0000-0000E9080000}"/>
    <cellStyle name="COL HEADINGS 7" xfId="2303" xr:uid="{00000000-0005-0000-0000-0000EA080000}"/>
    <cellStyle name="COL HEADINGS 7 2" xfId="2304" xr:uid="{00000000-0005-0000-0000-0000EB080000}"/>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3" xfId="2667" xr:uid="{00000000-0005-0000-0000-0000560A0000}"/>
    <cellStyle name="Date [mmm-yyyy] 2 3 2" xfId="2668" xr:uid="{00000000-0005-0000-0000-0000570A0000}"/>
    <cellStyle name="Date [mmm-yyyy] 2 4" xfId="2669" xr:uid="{00000000-0005-0000-0000-0000580A0000}"/>
    <cellStyle name="Date [mmm-yyyy] 3" xfId="2670" xr:uid="{00000000-0005-0000-0000-0000590A0000}"/>
    <cellStyle name="Date [mmm-yyyy] 3 2" xfId="2671" xr:uid="{00000000-0005-0000-0000-00005A0A0000}"/>
    <cellStyle name="Date [mmm-yyyy] 3 2 2" xfId="2672" xr:uid="{00000000-0005-0000-0000-00005B0A0000}"/>
    <cellStyle name="Date [mmm-yyyy] 3 3" xfId="2673" xr:uid="{00000000-0005-0000-0000-00005C0A0000}"/>
    <cellStyle name="Date [mmm-yyyy] 3 3 2" xfId="2674" xr:uid="{00000000-0005-0000-0000-00005D0A0000}"/>
    <cellStyle name="Date [mmm-yyyy] 3 4" xfId="2675" xr:uid="{00000000-0005-0000-0000-00005E0A0000}"/>
    <cellStyle name="Date [mmm-yyyy] 4" xfId="2676" xr:uid="{00000000-0005-0000-0000-00005F0A0000}"/>
    <cellStyle name="Date [mmm-yyyy] 4 2" xfId="2677" xr:uid="{00000000-0005-0000-0000-0000600A0000}"/>
    <cellStyle name="Date [mmm-yyyy] 5" xfId="2678" xr:uid="{00000000-0005-0000-0000-0000610A0000}"/>
    <cellStyle name="Date [mmm-yyyy] 5 2" xfId="2679" xr:uid="{00000000-0005-0000-0000-0000620A0000}"/>
    <cellStyle name="Date [mmm-yyyy] 6" xfId="2680" xr:uid="{00000000-0005-0000-0000-0000630A0000}"/>
    <cellStyle name="Date [mmm-yyyy] 6 2" xfId="2681" xr:uid="{00000000-0005-0000-0000-0000640A0000}"/>
    <cellStyle name="Date [mmm-yyyy] 7" xfId="2682" xr:uid="{00000000-0005-0000-0000-0000650A0000}"/>
    <cellStyle name="Date [mmm-yyyy] 7 2" xfId="2683" xr:uid="{00000000-0005-0000-0000-0000660A0000}"/>
    <cellStyle name="Date [mmm-yyyy] 8" xfId="2684" xr:uid="{00000000-0005-0000-0000-0000670A0000}"/>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3" xfId="2800" xr:uid="{00000000-0005-0000-0000-0000DE0A0000}"/>
    <cellStyle name="f 2 3 2" xfId="2801" xr:uid="{00000000-0005-0000-0000-0000DF0A0000}"/>
    <cellStyle name="f 2 4" xfId="2802" xr:uid="{00000000-0005-0000-0000-0000E00A0000}"/>
    <cellStyle name="f 3" xfId="2803" xr:uid="{00000000-0005-0000-0000-0000E10A0000}"/>
    <cellStyle name="f 3 2" xfId="2804" xr:uid="{00000000-0005-0000-0000-0000E20A0000}"/>
    <cellStyle name="f 3 2 2" xfId="2805" xr:uid="{00000000-0005-0000-0000-0000E30A0000}"/>
    <cellStyle name="f 3 3" xfId="2806" xr:uid="{00000000-0005-0000-0000-0000E40A0000}"/>
    <cellStyle name="f 3 3 2" xfId="2807" xr:uid="{00000000-0005-0000-0000-0000E50A0000}"/>
    <cellStyle name="f 3 4" xfId="2808" xr:uid="{00000000-0005-0000-0000-0000E60A0000}"/>
    <cellStyle name="f 4" xfId="2809" xr:uid="{00000000-0005-0000-0000-0000E70A0000}"/>
    <cellStyle name="f 4 2" xfId="2810" xr:uid="{00000000-0005-0000-0000-0000E80A0000}"/>
    <cellStyle name="f 5" xfId="2811" xr:uid="{00000000-0005-0000-0000-0000E90A0000}"/>
    <cellStyle name="f 5 2" xfId="2812" xr:uid="{00000000-0005-0000-0000-0000EA0A0000}"/>
    <cellStyle name="f 6" xfId="2813" xr:uid="{00000000-0005-0000-0000-0000EB0A0000}"/>
    <cellStyle name="f 6 2" xfId="2814" xr:uid="{00000000-0005-0000-0000-0000EC0A0000}"/>
    <cellStyle name="f 7" xfId="2815" xr:uid="{00000000-0005-0000-0000-0000ED0A0000}"/>
    <cellStyle name="f 7 2" xfId="2816" xr:uid="{00000000-0005-0000-0000-0000EE0A0000}"/>
    <cellStyle name="f 8" xfId="2817" xr:uid="{00000000-0005-0000-0000-0000EF0A0000}"/>
    <cellStyle name="f 8 2" xfId="2818" xr:uid="{00000000-0005-0000-0000-0000F00A0000}"/>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3" xfId="2909" xr:uid="{00000000-0005-0000-0000-0000500B0000}"/>
    <cellStyle name="Heading With Underline 2 3 2" xfId="2910" xr:uid="{00000000-0005-0000-0000-0000510B0000}"/>
    <cellStyle name="Heading With Underline 2 4" xfId="2911" xr:uid="{00000000-0005-0000-0000-0000520B0000}"/>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3" xfId="2915" xr:uid="{00000000-0005-0000-0000-0000560B0000}"/>
    <cellStyle name="Heading With Underline 3 3 2" xfId="2916" xr:uid="{00000000-0005-0000-0000-0000570B0000}"/>
    <cellStyle name="Heading With Underline 3 4" xfId="2917" xr:uid="{00000000-0005-0000-0000-0000580B0000}"/>
    <cellStyle name="Heading With Underline 4" xfId="2918" xr:uid="{00000000-0005-0000-0000-0000590B0000}"/>
    <cellStyle name="Heading With Underline 4 2" xfId="2919" xr:uid="{00000000-0005-0000-0000-00005A0B0000}"/>
    <cellStyle name="Heading With Underline 5" xfId="2920" xr:uid="{00000000-0005-0000-0000-00005B0B0000}"/>
    <cellStyle name="Heading With Underline 5 2" xfId="2921" xr:uid="{00000000-0005-0000-0000-00005C0B0000}"/>
    <cellStyle name="Heading With Underline 6" xfId="2922" xr:uid="{00000000-0005-0000-0000-00005D0B0000}"/>
    <cellStyle name="Heading With Underline 6 2" xfId="2923" xr:uid="{00000000-0005-0000-0000-00005E0B0000}"/>
    <cellStyle name="Heading With Underline 7" xfId="2924" xr:uid="{00000000-0005-0000-0000-00005F0B0000}"/>
    <cellStyle name="Heading With Underline 7 2" xfId="2925" xr:uid="{00000000-0005-0000-0000-0000600B0000}"/>
    <cellStyle name="Heading With Underline 8" xfId="2926" xr:uid="{00000000-0005-0000-0000-0000610B0000}"/>
    <cellStyle name="Heading With Underline 8 2" xfId="2927" xr:uid="{00000000-0005-0000-0000-0000620B0000}"/>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3" xfId="3095" xr:uid="{00000000-0005-0000-0000-00000C0C0000}"/>
    <cellStyle name="LineNum w/ Border 2 2 3 2" xfId="3096" xr:uid="{00000000-0005-0000-0000-00000D0C0000}"/>
    <cellStyle name="LineNum w/ Border 2 2 4" xfId="3097" xr:uid="{00000000-0005-0000-0000-00000E0C0000}"/>
    <cellStyle name="LineNum w/ Border 2 3" xfId="3098" xr:uid="{00000000-0005-0000-0000-00000F0C0000}"/>
    <cellStyle name="LineNum w/ Border 2 3 2" xfId="3099" xr:uid="{00000000-0005-0000-0000-0000100C0000}"/>
    <cellStyle name="LineNum w/ Border 2 4" xfId="3100" xr:uid="{00000000-0005-0000-0000-0000110C0000}"/>
    <cellStyle name="LineNum w/ Border 2 4 2" xfId="3101" xr:uid="{00000000-0005-0000-0000-0000120C0000}"/>
    <cellStyle name="LineNum w/ Border 2 5" xfId="3102" xr:uid="{00000000-0005-0000-0000-0000130C0000}"/>
    <cellStyle name="LineNum w/ Border 2 5 2" xfId="3103" xr:uid="{00000000-0005-0000-0000-0000140C0000}"/>
    <cellStyle name="LineNum w/ Border 2 6" xfId="3104" xr:uid="{00000000-0005-0000-0000-0000150C0000}"/>
    <cellStyle name="LineNum w/ Border 2 6 2" xfId="3105" xr:uid="{00000000-0005-0000-0000-0000160C0000}"/>
    <cellStyle name="LineNum w/ Border 2 7" xfId="3106" xr:uid="{00000000-0005-0000-0000-0000170C0000}"/>
    <cellStyle name="LineNum w/ Border 2 7 2" xfId="3107" xr:uid="{00000000-0005-0000-0000-0000180C0000}"/>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3" xfId="3112" xr:uid="{00000000-0005-0000-0000-00001D0C0000}"/>
    <cellStyle name="LineNum w/ Border 3 2 3 2" xfId="3113" xr:uid="{00000000-0005-0000-0000-00001E0C0000}"/>
    <cellStyle name="LineNum w/ Border 3 2 4" xfId="3114" xr:uid="{00000000-0005-0000-0000-00001F0C0000}"/>
    <cellStyle name="LineNum w/ Border 3 3" xfId="3115" xr:uid="{00000000-0005-0000-0000-0000200C0000}"/>
    <cellStyle name="LineNum w/ Border 3 3 2" xfId="3116" xr:uid="{00000000-0005-0000-0000-0000210C0000}"/>
    <cellStyle name="LineNum w/ Border 3 4" xfId="3117" xr:uid="{00000000-0005-0000-0000-0000220C0000}"/>
    <cellStyle name="LineNum w/ Border 3 4 2" xfId="3118" xr:uid="{00000000-0005-0000-0000-0000230C0000}"/>
    <cellStyle name="LineNum w/ Border 3 5" xfId="3119" xr:uid="{00000000-0005-0000-0000-0000240C0000}"/>
    <cellStyle name="LineNum w/ Border 3 5 2" xfId="3120" xr:uid="{00000000-0005-0000-0000-0000250C0000}"/>
    <cellStyle name="LineNum w/ Border 3 6" xfId="3121" xr:uid="{00000000-0005-0000-0000-0000260C0000}"/>
    <cellStyle name="LineNum w/ Border 3 6 2" xfId="3122" xr:uid="{00000000-0005-0000-0000-0000270C0000}"/>
    <cellStyle name="LineNum w/ Border 3 7" xfId="3123" xr:uid="{00000000-0005-0000-0000-0000280C0000}"/>
    <cellStyle name="LineNum w/ Border 3 7 2" xfId="3124" xr:uid="{00000000-0005-0000-0000-0000290C0000}"/>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3" xfId="3128" xr:uid="{00000000-0005-0000-0000-00002D0C0000}"/>
    <cellStyle name="LineNum w/ Border 4 3 2" xfId="3129" xr:uid="{00000000-0005-0000-0000-00002E0C0000}"/>
    <cellStyle name="LineNum w/ Border 4 4" xfId="3130" xr:uid="{00000000-0005-0000-0000-00002F0C0000}"/>
    <cellStyle name="LineNum w/ Border 5" xfId="3131" xr:uid="{00000000-0005-0000-0000-0000300C0000}"/>
    <cellStyle name="LineNum w/ Border 5 2" xfId="3132" xr:uid="{00000000-0005-0000-0000-0000310C0000}"/>
    <cellStyle name="LineNum w/ Border 6" xfId="3133" xr:uid="{00000000-0005-0000-0000-0000320C0000}"/>
    <cellStyle name="LineNum w/ Border 6 2" xfId="3134" xr:uid="{00000000-0005-0000-0000-0000330C0000}"/>
    <cellStyle name="LineNum w/ Border 7" xfId="3135" xr:uid="{00000000-0005-0000-0000-0000340C0000}"/>
    <cellStyle name="LineNum w/ Border 7 2" xfId="3136" xr:uid="{00000000-0005-0000-0000-0000350C0000}"/>
    <cellStyle name="LineNum w/ Border 8" xfId="3137" xr:uid="{00000000-0005-0000-0000-0000360C0000}"/>
    <cellStyle name="LineNum w/ Border 8 2" xfId="3138" xr:uid="{00000000-0005-0000-0000-0000370C0000}"/>
    <cellStyle name="LineNum w/ Border 9" xfId="3139" xr:uid="{00000000-0005-0000-0000-0000380C0000}"/>
    <cellStyle name="LineNum w/ Border 9 2" xfId="3140" xr:uid="{00000000-0005-0000-0000-0000390C0000}"/>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3" xfId="3157" xr:uid="{00000000-0005-0000-0000-00004B0C0000}"/>
    <cellStyle name="m/d/yy 2 3 2" xfId="3158" xr:uid="{00000000-0005-0000-0000-00004C0C0000}"/>
    <cellStyle name="m/d/yy 2 4" xfId="3159" xr:uid="{00000000-0005-0000-0000-00004D0C0000}"/>
    <cellStyle name="m/d/yy 3" xfId="3160" xr:uid="{00000000-0005-0000-0000-00004E0C0000}"/>
    <cellStyle name="m/d/yy 3 2" xfId="3161" xr:uid="{00000000-0005-0000-0000-00004F0C0000}"/>
    <cellStyle name="m/d/yy 4" xfId="3162" xr:uid="{00000000-0005-0000-0000-0000500C0000}"/>
    <cellStyle name="m/d/yy 4 2" xfId="3163" xr:uid="{00000000-0005-0000-0000-0000510C0000}"/>
    <cellStyle name="m/d/yy 5" xfId="3164" xr:uid="{00000000-0005-0000-0000-0000520C0000}"/>
    <cellStyle name="m/d/yy 5 2" xfId="3165" xr:uid="{00000000-0005-0000-0000-0000530C0000}"/>
    <cellStyle name="m/d/yy 6" xfId="3166" xr:uid="{00000000-0005-0000-0000-0000540C0000}"/>
    <cellStyle name="m/d/yy 6 2" xfId="3167" xr:uid="{00000000-0005-0000-0000-0000550C0000}"/>
    <cellStyle name="m/d/yy 7" xfId="3168" xr:uid="{00000000-0005-0000-0000-0000560C0000}"/>
    <cellStyle name="m/d/yy 7 2" xfId="3169" xr:uid="{00000000-0005-0000-0000-0000570C0000}"/>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3" xfId="3176" xr:uid="{00000000-0005-0000-0000-00005E0C0000}"/>
    <cellStyle name="Magic 2 3 2" xfId="3177" xr:uid="{00000000-0005-0000-0000-00005F0C0000}"/>
    <cellStyle name="Magic 2 4" xfId="3178" xr:uid="{00000000-0005-0000-0000-0000600C0000}"/>
    <cellStyle name="Magic 3" xfId="3179" xr:uid="{00000000-0005-0000-0000-0000610C0000}"/>
    <cellStyle name="Magic 3 2" xfId="3180" xr:uid="{00000000-0005-0000-0000-0000620C0000}"/>
    <cellStyle name="Magic 4" xfId="3181" xr:uid="{00000000-0005-0000-0000-0000630C0000}"/>
    <cellStyle name="Magic 4 2" xfId="3182" xr:uid="{00000000-0005-0000-0000-0000640C0000}"/>
    <cellStyle name="Magic 5" xfId="3183" xr:uid="{00000000-0005-0000-0000-0000650C0000}"/>
    <cellStyle name="Magic 5 2" xfId="3184" xr:uid="{00000000-0005-0000-0000-0000660C0000}"/>
    <cellStyle name="Magic 6" xfId="3185" xr:uid="{00000000-0005-0000-0000-0000670C0000}"/>
    <cellStyle name="Magic 6 2" xfId="3186" xr:uid="{00000000-0005-0000-0000-0000680C0000}"/>
    <cellStyle name="Magic 7" xfId="3187" xr:uid="{00000000-0005-0000-0000-0000690C0000}"/>
    <cellStyle name="Magic 7 2" xfId="3188" xr:uid="{00000000-0005-0000-0000-00006A0C0000}"/>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3" xfId="3195" xr:uid="{00000000-0005-0000-0000-0000710C0000}"/>
    <cellStyle name="Mifrog 2 3 2" xfId="3196" xr:uid="{00000000-0005-0000-0000-0000720C0000}"/>
    <cellStyle name="Mifrog 2 4" xfId="3197" xr:uid="{00000000-0005-0000-0000-0000730C0000}"/>
    <cellStyle name="Mifrog 3" xfId="3198" xr:uid="{00000000-0005-0000-0000-0000740C0000}"/>
    <cellStyle name="Mifrog 3 2" xfId="3199" xr:uid="{00000000-0005-0000-0000-0000750C0000}"/>
    <cellStyle name="Mifrog 4" xfId="3200" xr:uid="{00000000-0005-0000-0000-0000760C0000}"/>
    <cellStyle name="Mifrog 4 2" xfId="3201" xr:uid="{00000000-0005-0000-0000-0000770C0000}"/>
    <cellStyle name="Mifrog 5" xfId="3202" xr:uid="{00000000-0005-0000-0000-0000780C0000}"/>
    <cellStyle name="Mifrog 5 2" xfId="3203" xr:uid="{00000000-0005-0000-0000-0000790C0000}"/>
    <cellStyle name="Mifrog 6" xfId="3204" xr:uid="{00000000-0005-0000-0000-00007A0C0000}"/>
    <cellStyle name="Mifrog 6 2" xfId="3205" xr:uid="{00000000-0005-0000-0000-00007B0C0000}"/>
    <cellStyle name="Mifrog 7" xfId="3206" xr:uid="{00000000-0005-0000-0000-00007C0C0000}"/>
    <cellStyle name="Mifrog 7 2" xfId="3207" xr:uid="{00000000-0005-0000-0000-00007D0C0000}"/>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3" xfId="3860" xr:uid="{00000000-0005-0000-0000-0000120F0000}"/>
    <cellStyle name="swpTotalsTotal 2 3 2" xfId="3861" xr:uid="{00000000-0005-0000-0000-0000130F0000}"/>
    <cellStyle name="swpTotalsTotal 2 4" xfId="3862" xr:uid="{00000000-0005-0000-0000-0000140F0000}"/>
    <cellStyle name="swpTotalsTotal 3" xfId="3863" xr:uid="{00000000-0005-0000-0000-0000150F0000}"/>
    <cellStyle name="swpTotalsTotal 3 2" xfId="3864" xr:uid="{00000000-0005-0000-0000-0000160F0000}"/>
    <cellStyle name="swpTotalsTotal 4" xfId="3865" xr:uid="{00000000-0005-0000-0000-0000170F0000}"/>
    <cellStyle name="swpTotalsTotal 4 2" xfId="3866" xr:uid="{00000000-0005-0000-0000-0000180F0000}"/>
    <cellStyle name="swpTotalsTotal 5" xfId="3867" xr:uid="{00000000-0005-0000-0000-0000190F0000}"/>
    <cellStyle name="swpTotalsTotal 5 2" xfId="3868" xr:uid="{00000000-0005-0000-0000-00001A0F0000}"/>
    <cellStyle name="swpTotalsTotal 6" xfId="3869" xr:uid="{00000000-0005-0000-0000-00001B0F0000}"/>
    <cellStyle name="swpTotalsTotal 6 2" xfId="3870" xr:uid="{00000000-0005-0000-0000-00001C0F0000}"/>
    <cellStyle name="swpTotalsTotal 7" xfId="3871" xr:uid="{00000000-0005-0000-0000-00001D0F0000}"/>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3" xfId="3915" xr:uid="{00000000-0005-0000-0000-00004B0F0000}"/>
    <cellStyle name="underlineHeading 2 3 2" xfId="3916" xr:uid="{00000000-0005-0000-0000-00004C0F0000}"/>
    <cellStyle name="underlineHeading 2 4" xfId="3917" xr:uid="{00000000-0005-0000-0000-00004D0F0000}"/>
    <cellStyle name="underlineHeading 3" xfId="3918" xr:uid="{00000000-0005-0000-0000-00004E0F0000}"/>
    <cellStyle name="underlineHeading 3 2" xfId="3919" xr:uid="{00000000-0005-0000-0000-00004F0F0000}"/>
    <cellStyle name="underlineHeading 4" xfId="3920" xr:uid="{00000000-0005-0000-0000-0000500F0000}"/>
    <cellStyle name="underlineHeading 4 2" xfId="3921" xr:uid="{00000000-0005-0000-0000-0000510F0000}"/>
    <cellStyle name="underlineHeading 5" xfId="3922" xr:uid="{00000000-0005-0000-0000-0000520F0000}"/>
    <cellStyle name="underlineHeading 5 2" xfId="3923" xr:uid="{00000000-0005-0000-0000-0000530F0000}"/>
    <cellStyle name="underlineHeading 6" xfId="3924" xr:uid="{00000000-0005-0000-0000-0000540F0000}"/>
    <cellStyle name="underlineHeading 6 2" xfId="3925" xr:uid="{00000000-0005-0000-0000-0000550F0000}"/>
    <cellStyle name="underlineHeading 7" xfId="3926" xr:uid="{00000000-0005-0000-0000-0000560F0000}"/>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0"/>
  <tableStyles count="0" defaultTableStyle="TableStyleMedium2" defaultPivotStyle="PivotStyleLight16"/>
  <colors>
    <mruColors>
      <color rgb="FFD4ECFA"/>
      <color rgb="FFFFFF66"/>
      <color rgb="FF97F12B"/>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A24A2D70-ED4E-44AB-B5CC-4CE7AFC2F48A}">
    <text>No "&amp;" in Business Definition</text>
  </threadedComment>
  <threadedComment ref="D9" dT="2024-02-27T16:05:28.79" personId="{00000000-0000-0000-0000-000000000000}" id="{4AA4CE10-73FE-4646-8C7E-C1F0E2BF5E63}">
    <text>No spaces or any other format and No BYTE or CHAR please</text>
  </threadedComment>
  <threadedComment ref="H9" dT="2024-02-27T16:25:48.91" personId="{00000000-0000-0000-0000-000000000000}" id="{B5E08E26-35FA-412F-821B-340A9235FFC8}">
    <text>No "&amp;" in Business Definition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CE14-916F-44E5-ADDA-A49F8526702E}">
  <dimension ref="A1:AC156"/>
  <sheetViews>
    <sheetView tabSelected="1" topLeftCell="A134" zoomScale="80" zoomScaleNormal="80" workbookViewId="0">
      <selection activeCell="C154" sqref="C154"/>
    </sheetView>
  </sheetViews>
  <sheetFormatPr defaultRowHeight="15"/>
  <cols>
    <col min="1" max="1" width="78.85546875" style="37" customWidth="1"/>
    <col min="2" max="2" width="25.42578125" customWidth="1"/>
    <col min="3" max="3" width="48.140625" bestFit="1" customWidth="1"/>
    <col min="4" max="4" width="16.5703125" customWidth="1"/>
    <col min="5" max="5" width="10.28515625" customWidth="1"/>
    <col min="6" max="6" width="32.85546875" bestFit="1" customWidth="1"/>
    <col min="7" max="7" width="8.7109375" customWidth="1"/>
    <col min="8" max="8" width="85.42578125" customWidth="1"/>
    <col min="9" max="9" width="3.7109375" customWidth="1"/>
    <col min="10" max="10" width="9.85546875" customWidth="1"/>
    <col min="11" max="11" width="10.140625" customWidth="1"/>
    <col min="12" max="12" width="8.42578125" customWidth="1"/>
    <col min="13" max="13" width="13" style="3" customWidth="1"/>
    <col min="14" max="14" width="9.28515625" style="3" customWidth="1"/>
    <col min="15" max="15" width="8.42578125" customWidth="1"/>
    <col min="16" max="16" width="7.42578125" customWidth="1"/>
    <col min="17" max="17" width="7.28515625" customWidth="1"/>
    <col min="18" max="18" width="10.28515625" customWidth="1"/>
    <col min="19" max="19" width="6.7109375" customWidth="1"/>
    <col min="20" max="20" width="7.5703125" customWidth="1"/>
    <col min="21" max="21" width="59.28515625" customWidth="1"/>
    <col min="22" max="22" width="29.28515625" customWidth="1"/>
    <col min="23" max="23" width="46.28515625" customWidth="1"/>
    <col min="24" max="24" width="29.5703125" customWidth="1"/>
    <col min="25" max="25" width="21" bestFit="1" customWidth="1"/>
    <col min="26" max="26" width="54.7109375" customWidth="1"/>
    <col min="27" max="27" width="38.28515625" customWidth="1"/>
    <col min="28" max="28" width="29" bestFit="1" customWidth="1"/>
  </cols>
  <sheetData>
    <row r="1" spans="1:29" ht="15" customHeight="1">
      <c r="A1" s="16" t="s">
        <v>0</v>
      </c>
      <c r="B1" s="22" t="s">
        <v>1</v>
      </c>
      <c r="C1" s="10"/>
      <c r="D1" s="10"/>
      <c r="E1" s="10"/>
      <c r="F1" s="67" t="s">
        <v>2</v>
      </c>
      <c r="G1" s="67"/>
      <c r="H1" s="67"/>
      <c r="I1" s="67"/>
      <c r="J1" s="67"/>
      <c r="K1" s="67"/>
      <c r="L1" s="67"/>
      <c r="M1" s="67"/>
      <c r="N1" s="39"/>
      <c r="O1" s="39"/>
      <c r="P1" s="39"/>
      <c r="Q1" s="39"/>
      <c r="R1" s="39"/>
      <c r="S1" s="10"/>
      <c r="T1" s="10"/>
      <c r="U1" s="10"/>
      <c r="V1" s="10"/>
      <c r="W1" s="10"/>
      <c r="X1" s="10"/>
      <c r="Y1" s="10"/>
      <c r="Z1" s="10"/>
      <c r="AA1" s="10"/>
    </row>
    <row r="2" spans="1:29" ht="18.75">
      <c r="A2" s="16" t="s">
        <v>3</v>
      </c>
      <c r="B2" s="22" t="s">
        <v>4</v>
      </c>
      <c r="C2" s="10"/>
      <c r="D2" s="10"/>
      <c r="E2" s="10"/>
      <c r="F2" s="67"/>
      <c r="G2" s="67"/>
      <c r="H2" s="67"/>
      <c r="I2" s="67"/>
      <c r="J2" s="67"/>
      <c r="K2" s="67"/>
      <c r="L2" s="67"/>
      <c r="M2" s="67"/>
      <c r="N2" s="39"/>
      <c r="O2" s="39"/>
      <c r="P2" s="39"/>
      <c r="Q2" s="39"/>
      <c r="R2" s="39"/>
      <c r="S2" s="10"/>
      <c r="T2" s="10"/>
      <c r="U2" s="10"/>
      <c r="V2" s="10"/>
      <c r="W2" s="10"/>
      <c r="X2" s="10"/>
      <c r="Y2" s="10"/>
      <c r="Z2" s="10"/>
      <c r="AA2" s="10"/>
    </row>
    <row r="3" spans="1:29" ht="18.75">
      <c r="A3" s="17" t="s">
        <v>5</v>
      </c>
      <c r="B3" s="22" t="s">
        <v>6</v>
      </c>
      <c r="C3" s="10"/>
      <c r="D3" s="10"/>
      <c r="E3" s="10"/>
      <c r="F3" s="67"/>
      <c r="G3" s="67"/>
      <c r="H3" s="67"/>
      <c r="I3" s="67"/>
      <c r="J3" s="67"/>
      <c r="K3" s="67"/>
      <c r="L3" s="67"/>
      <c r="M3" s="67"/>
      <c r="N3" s="39"/>
      <c r="O3" s="39"/>
      <c r="P3" s="39"/>
      <c r="Q3" s="39"/>
      <c r="R3" s="39"/>
      <c r="S3" s="10"/>
      <c r="T3" s="10"/>
      <c r="U3" s="10"/>
      <c r="V3" s="10"/>
      <c r="W3" s="10"/>
      <c r="X3" s="10"/>
      <c r="Y3" s="10"/>
      <c r="Z3" s="10"/>
      <c r="AA3" s="10"/>
    </row>
    <row r="4" spans="1:29" ht="18.75">
      <c r="A4" s="16" t="s">
        <v>7</v>
      </c>
      <c r="B4" s="22" t="s">
        <v>8</v>
      </c>
      <c r="C4" s="10"/>
      <c r="D4" s="10"/>
      <c r="E4" s="10"/>
      <c r="F4" s="67"/>
      <c r="G4" s="67"/>
      <c r="H4" s="67"/>
      <c r="I4" s="67"/>
      <c r="J4" s="67"/>
      <c r="K4" s="67"/>
      <c r="L4" s="67"/>
      <c r="M4" s="67"/>
      <c r="N4" s="39"/>
      <c r="O4" s="39"/>
      <c r="P4" s="39"/>
      <c r="Q4" s="39"/>
      <c r="R4" s="39"/>
      <c r="S4" s="10"/>
      <c r="T4" s="10"/>
      <c r="U4" s="10"/>
      <c r="V4" s="10"/>
      <c r="W4" s="10"/>
      <c r="X4" s="10"/>
      <c r="Y4" s="10"/>
      <c r="Z4" s="10"/>
      <c r="AA4" s="10"/>
    </row>
    <row r="5" spans="1:29" ht="46.9" customHeight="1">
      <c r="A5" s="16" t="s">
        <v>9</v>
      </c>
      <c r="B5" s="47" t="s">
        <v>10</v>
      </c>
      <c r="C5" s="10"/>
      <c r="D5" s="10"/>
      <c r="E5" s="10"/>
      <c r="F5" s="15" t="s">
        <v>11</v>
      </c>
      <c r="G5" s="8" t="s">
        <v>11</v>
      </c>
      <c r="H5" s="11" t="s">
        <v>11</v>
      </c>
      <c r="I5" s="21" t="s">
        <v>12</v>
      </c>
      <c r="K5" s="10"/>
      <c r="M5" s="54"/>
      <c r="N5" s="54"/>
      <c r="O5" s="10"/>
      <c r="P5" s="10"/>
      <c r="Q5" s="10"/>
      <c r="R5" s="10"/>
      <c r="S5" s="10"/>
      <c r="T5" s="10"/>
      <c r="U5" s="10"/>
      <c r="V5" s="10"/>
      <c r="W5" s="10"/>
      <c r="X5" s="10"/>
      <c r="Y5" s="10"/>
      <c r="Z5" s="10"/>
      <c r="AA5" s="10"/>
    </row>
    <row r="6" spans="1:29">
      <c r="A6" s="16" t="s">
        <v>13</v>
      </c>
      <c r="B6" s="22" t="s">
        <v>14</v>
      </c>
      <c r="C6" s="10"/>
      <c r="D6" s="10"/>
      <c r="E6" s="10"/>
      <c r="F6" s="10"/>
      <c r="G6" s="10"/>
      <c r="H6" s="10"/>
      <c r="I6" s="10"/>
      <c r="J6" s="10"/>
      <c r="K6" s="10"/>
      <c r="L6" s="10"/>
      <c r="M6" s="54"/>
      <c r="N6" s="54"/>
      <c r="O6" s="10"/>
      <c r="P6" s="10"/>
      <c r="Q6" s="10"/>
      <c r="R6" s="10"/>
      <c r="S6" s="10"/>
      <c r="T6" s="10"/>
      <c r="U6" s="10"/>
      <c r="V6" s="10"/>
      <c r="W6" s="10"/>
      <c r="X6" s="10"/>
      <c r="Y6" s="10"/>
      <c r="Z6" s="10"/>
      <c r="AA6" s="10"/>
    </row>
    <row r="7" spans="1:29">
      <c r="A7" s="16" t="s">
        <v>15</v>
      </c>
      <c r="B7" s="22"/>
      <c r="C7" s="10"/>
      <c r="D7" s="10"/>
      <c r="E7" s="10"/>
      <c r="F7" s="10"/>
      <c r="G7" s="10"/>
      <c r="H7" s="10"/>
      <c r="I7" s="10"/>
      <c r="J7" s="10"/>
      <c r="K7" s="10"/>
      <c r="L7" s="10"/>
      <c r="M7" s="54"/>
      <c r="N7" s="54"/>
      <c r="O7" s="10"/>
      <c r="P7" s="10"/>
      <c r="Q7" s="10"/>
      <c r="R7" s="10"/>
      <c r="S7" s="10"/>
      <c r="T7" s="10"/>
      <c r="U7" s="10"/>
      <c r="V7" s="10"/>
      <c r="W7" s="10"/>
      <c r="X7" s="10"/>
      <c r="Y7" s="10"/>
      <c r="Z7" s="10"/>
      <c r="AA7" s="10"/>
    </row>
    <row r="8" spans="1:29" ht="15" customHeight="1">
      <c r="A8" s="68" t="s">
        <v>16</v>
      </c>
      <c r="B8" s="69"/>
      <c r="C8" s="69"/>
      <c r="D8" s="69"/>
      <c r="E8" s="69"/>
      <c r="F8" s="69"/>
      <c r="G8" s="69"/>
      <c r="H8" s="70"/>
      <c r="I8" s="19"/>
      <c r="J8" s="19"/>
      <c r="K8" s="19"/>
      <c r="L8" s="19"/>
      <c r="M8" s="55"/>
      <c r="N8" s="55"/>
      <c r="O8" s="19"/>
      <c r="P8" s="19"/>
      <c r="Q8" s="19"/>
      <c r="R8" s="19"/>
      <c r="S8" s="73" t="s">
        <v>17</v>
      </c>
      <c r="T8" s="74"/>
      <c r="U8" s="74"/>
      <c r="V8" s="74"/>
      <c r="W8" s="74"/>
      <c r="X8" s="74"/>
      <c r="Y8" s="75"/>
      <c r="Z8" s="71" t="s">
        <v>18</v>
      </c>
      <c r="AA8" s="72"/>
    </row>
    <row r="9" spans="1:29" s="3" customFormat="1" ht="165">
      <c r="A9" s="9" t="s">
        <v>19</v>
      </c>
      <c r="B9" s="49" t="s">
        <v>20</v>
      </c>
      <c r="C9" s="20" t="s">
        <v>21</v>
      </c>
      <c r="D9" s="9" t="s">
        <v>22</v>
      </c>
      <c r="E9" s="9" t="s">
        <v>23</v>
      </c>
      <c r="F9" s="8" t="s">
        <v>24</v>
      </c>
      <c r="G9" s="9" t="s">
        <v>25</v>
      </c>
      <c r="H9" s="9" t="s">
        <v>26</v>
      </c>
      <c r="I9" s="9" t="s">
        <v>27</v>
      </c>
      <c r="J9" s="9" t="s">
        <v>28</v>
      </c>
      <c r="K9" s="9" t="s">
        <v>29</v>
      </c>
      <c r="L9" s="9" t="s">
        <v>30</v>
      </c>
      <c r="M9" s="20" t="s">
        <v>31</v>
      </c>
      <c r="N9" s="20" t="s">
        <v>32</v>
      </c>
      <c r="O9" s="20"/>
      <c r="P9" s="20"/>
      <c r="Q9" s="20" t="s">
        <v>33</v>
      </c>
      <c r="R9" s="20"/>
      <c r="S9" s="20"/>
      <c r="T9" s="20"/>
      <c r="U9" s="20" t="s">
        <v>34</v>
      </c>
      <c r="V9" s="11" t="s">
        <v>35</v>
      </c>
      <c r="W9" s="12" t="s">
        <v>36</v>
      </c>
      <c r="X9" s="13" t="s">
        <v>37</v>
      </c>
      <c r="Y9" s="14" t="s">
        <v>38</v>
      </c>
      <c r="Z9" s="14" t="s">
        <v>39</v>
      </c>
      <c r="AA9" s="15" t="s">
        <v>40</v>
      </c>
      <c r="AB9" s="15" t="s">
        <v>41</v>
      </c>
      <c r="AC9"/>
    </row>
    <row r="10" spans="1:29">
      <c r="A10" s="40" t="s">
        <v>42</v>
      </c>
      <c r="B10" s="40"/>
      <c r="C10" t="s">
        <v>43</v>
      </c>
      <c r="D10" s="24" t="s">
        <v>44</v>
      </c>
      <c r="E10" s="24" t="s">
        <v>45</v>
      </c>
      <c r="F10" s="24" t="s">
        <v>46</v>
      </c>
      <c r="G10" s="24" t="s">
        <v>45</v>
      </c>
      <c r="H10" s="7" t="s">
        <v>47</v>
      </c>
      <c r="I10" s="2"/>
      <c r="J10" s="2"/>
      <c r="K10" s="2"/>
      <c r="L10" s="2"/>
      <c r="M10" s="2" t="e">
        <f>VLOOKUP(A10,Model!C$2:K$281,2,FALSE)=C10</f>
        <v>#N/A</v>
      </c>
      <c r="N10" s="2" t="e">
        <f>VLOOKUP(A10,Model!C$2:L$137,5,FALSE)=D10</f>
        <v>#N/A</v>
      </c>
      <c r="O10" s="2"/>
      <c r="P10" s="2"/>
      <c r="Q10" s="2" t="e">
        <f>VLOOKUP(C10,Table!A$2:F$105,1,FALSE)=C10</f>
        <v>#N/A</v>
      </c>
      <c r="R10" s="2"/>
      <c r="S10" s="2"/>
      <c r="T10" s="2"/>
      <c r="U10" s="2" t="e">
        <f>VLOOKUP(UPPER(SUBSTITUTE(A10," ","_")),View!A$2:J$158,1,FALSE)</f>
        <v>#N/A</v>
      </c>
      <c r="V10" s="23" t="s">
        <v>48</v>
      </c>
      <c r="W10" s="24" t="s">
        <v>49</v>
      </c>
      <c r="X10" s="23" t="s">
        <v>50</v>
      </c>
      <c r="Y10" s="4" t="s">
        <v>44</v>
      </c>
      <c r="Z10" s="5"/>
      <c r="AA10" s="25"/>
      <c r="AB10" s="26"/>
    </row>
    <row r="11" spans="1:29" ht="409.5">
      <c r="A11" s="64" t="s">
        <v>51</v>
      </c>
      <c r="B11" s="40"/>
      <c r="C11" t="s">
        <v>52</v>
      </c>
      <c r="D11" s="24" t="s">
        <v>53</v>
      </c>
      <c r="E11" s="24" t="s">
        <v>54</v>
      </c>
      <c r="F11" s="24" t="s">
        <v>55</v>
      </c>
      <c r="G11" s="24" t="s">
        <v>54</v>
      </c>
      <c r="H11" s="65" t="s">
        <v>56</v>
      </c>
      <c r="I11" s="2"/>
      <c r="J11" s="2"/>
      <c r="K11" s="2"/>
      <c r="L11" s="2"/>
      <c r="M11" s="2" t="e">
        <f>VLOOKUP(A11,Model!C$2:K$281,2,FALSE)=C11</f>
        <v>#N/A</v>
      </c>
      <c r="N11" s="2" t="e">
        <f>VLOOKUP(A11,Model!C$2:L$137,5,FALSE)=D11</f>
        <v>#N/A</v>
      </c>
      <c r="O11" s="2"/>
      <c r="P11" s="2"/>
      <c r="Q11" s="2" t="e">
        <f>VLOOKUP(C11,Table!A$2:F$105,1,FALSE)=C11</f>
        <v>#N/A</v>
      </c>
      <c r="R11" s="2"/>
      <c r="S11" s="2"/>
      <c r="T11" s="2"/>
      <c r="U11" s="2" t="e">
        <f>VLOOKUP(UPPER(SUBSTITUTE(A11," ","_")),View!A$2:J$158,1,FALSE)</f>
        <v>#N/A</v>
      </c>
      <c r="V11" s="23" t="s">
        <v>48</v>
      </c>
      <c r="W11" s="24" t="s">
        <v>49</v>
      </c>
      <c r="X11" s="23" t="s">
        <v>57</v>
      </c>
      <c r="Y11" s="4" t="s">
        <v>58</v>
      </c>
      <c r="Z11" s="5" t="s">
        <v>54</v>
      </c>
      <c r="AA11" s="25"/>
      <c r="AB11" s="26"/>
    </row>
    <row r="12" spans="1:29" ht="30">
      <c r="A12" s="64" t="s">
        <v>59</v>
      </c>
      <c r="B12" s="40"/>
      <c r="C12" t="s">
        <v>60</v>
      </c>
      <c r="D12" s="24" t="s">
        <v>61</v>
      </c>
      <c r="E12" s="24" t="s">
        <v>54</v>
      </c>
      <c r="F12" s="24" t="s">
        <v>62</v>
      </c>
      <c r="G12" s="24" t="s">
        <v>54</v>
      </c>
      <c r="H12" s="65" t="s">
        <v>63</v>
      </c>
      <c r="I12" s="2"/>
      <c r="J12" s="2"/>
      <c r="K12" s="2"/>
      <c r="L12" s="2"/>
      <c r="M12" s="2" t="e">
        <f>VLOOKUP(A12,Model!C$2:K$281,2,FALSE)=C12</f>
        <v>#N/A</v>
      </c>
      <c r="N12" s="2" t="e">
        <f>VLOOKUP(A12,Model!C$2:L$137,5,FALSE)=D12</f>
        <v>#N/A</v>
      </c>
      <c r="O12" s="2"/>
      <c r="P12" s="2"/>
      <c r="Q12" s="2" t="e">
        <f>VLOOKUP(C12,Table!A$2:F$105,1,FALSE)=C12</f>
        <v>#N/A</v>
      </c>
      <c r="R12" s="2"/>
      <c r="S12" s="2"/>
      <c r="T12" s="2"/>
      <c r="U12" s="2" t="e">
        <f>VLOOKUP(UPPER(SUBSTITUTE(A12," ","_")),View!A$2:J$158,1,FALSE)</f>
        <v>#N/A</v>
      </c>
      <c r="V12" s="23" t="s">
        <v>48</v>
      </c>
      <c r="W12" s="24" t="s">
        <v>49</v>
      </c>
      <c r="X12" s="23" t="s">
        <v>64</v>
      </c>
      <c r="Y12" s="4" t="s">
        <v>61</v>
      </c>
      <c r="Z12" s="5" t="s">
        <v>54</v>
      </c>
      <c r="AA12" s="25"/>
      <c r="AB12" s="26"/>
    </row>
    <row r="13" spans="1:29" ht="30">
      <c r="A13" s="64" t="s">
        <v>65</v>
      </c>
      <c r="B13" s="40"/>
      <c r="C13" t="s">
        <v>66</v>
      </c>
      <c r="D13" s="24" t="s">
        <v>67</v>
      </c>
      <c r="E13" s="24" t="s">
        <v>54</v>
      </c>
      <c r="F13" s="24" t="s">
        <v>68</v>
      </c>
      <c r="G13" s="24" t="s">
        <v>54</v>
      </c>
      <c r="H13" s="65" t="s">
        <v>69</v>
      </c>
      <c r="I13" s="2"/>
      <c r="J13" s="2"/>
      <c r="K13" s="2"/>
      <c r="L13" s="2"/>
      <c r="M13" s="2" t="e">
        <f>VLOOKUP(A13,Model!C$2:K$281,2,FALSE)=C13</f>
        <v>#N/A</v>
      </c>
      <c r="N13" s="2" t="e">
        <f>VLOOKUP(A13,Model!C$2:L$137,5,FALSE)=D13</f>
        <v>#N/A</v>
      </c>
      <c r="O13" s="2"/>
      <c r="P13" s="2"/>
      <c r="Q13" s="2" t="e">
        <f>VLOOKUP(C13,Table!A$2:F$105,1,FALSE)=C13</f>
        <v>#N/A</v>
      </c>
      <c r="R13" s="2"/>
      <c r="S13" s="2"/>
      <c r="T13" s="2"/>
      <c r="U13" s="2" t="e">
        <f>VLOOKUP(UPPER(SUBSTITUTE(A13," ","_")),View!A$2:J$158,1,FALSE)</f>
        <v>#N/A</v>
      </c>
      <c r="V13" s="23" t="s">
        <v>48</v>
      </c>
      <c r="W13" s="24" t="s">
        <v>49</v>
      </c>
      <c r="X13" s="23" t="s">
        <v>70</v>
      </c>
      <c r="Y13" s="4" t="s">
        <v>67</v>
      </c>
      <c r="Z13" s="5" t="s">
        <v>54</v>
      </c>
      <c r="AA13" s="26"/>
      <c r="AB13" s="26"/>
    </row>
    <row r="14" spans="1:29">
      <c r="A14" s="64" t="s">
        <v>71</v>
      </c>
      <c r="B14" s="40"/>
      <c r="C14" t="s">
        <v>72</v>
      </c>
      <c r="D14" s="24" t="s">
        <v>73</v>
      </c>
      <c r="E14" s="24" t="s">
        <v>54</v>
      </c>
      <c r="F14" s="24" t="s">
        <v>74</v>
      </c>
      <c r="G14" s="24" t="s">
        <v>54</v>
      </c>
      <c r="H14" s="65" t="s">
        <v>75</v>
      </c>
      <c r="I14" s="2"/>
      <c r="J14" s="2"/>
      <c r="K14" s="2"/>
      <c r="L14" s="2"/>
      <c r="M14" s="2" t="e">
        <f>VLOOKUP(A14,Model!C$2:K$281,2,FALSE)=C14</f>
        <v>#N/A</v>
      </c>
      <c r="N14" s="2" t="e">
        <f>VLOOKUP(A14,Model!C$2:L$137,5,FALSE)=D14</f>
        <v>#N/A</v>
      </c>
      <c r="O14" s="2"/>
      <c r="P14" s="2"/>
      <c r="Q14" s="2" t="e">
        <f>VLOOKUP(C14,Table!A$2:F$105,1,FALSE)=C14</f>
        <v>#N/A</v>
      </c>
      <c r="R14" s="2"/>
      <c r="S14" s="2"/>
      <c r="T14" s="2"/>
      <c r="U14" s="2" t="e">
        <f>VLOOKUP(UPPER(SUBSTITUTE(A14," ","_")),View!A$2:J$158,1,FALSE)</f>
        <v>#N/A</v>
      </c>
      <c r="V14" s="23" t="s">
        <v>48</v>
      </c>
      <c r="W14" s="24" t="s">
        <v>49</v>
      </c>
      <c r="X14" s="23" t="s">
        <v>76</v>
      </c>
      <c r="Y14" s="4" t="s">
        <v>77</v>
      </c>
      <c r="Z14" s="5" t="s">
        <v>54</v>
      </c>
      <c r="AA14" s="25"/>
      <c r="AB14" s="26"/>
    </row>
    <row r="15" spans="1:29">
      <c r="A15" s="64" t="s">
        <v>78</v>
      </c>
      <c r="B15" s="40"/>
      <c r="C15" t="s">
        <v>79</v>
      </c>
      <c r="D15" s="24" t="s">
        <v>80</v>
      </c>
      <c r="E15" s="24" t="s">
        <v>54</v>
      </c>
      <c r="F15" s="24" t="s">
        <v>81</v>
      </c>
      <c r="G15" s="24" t="s">
        <v>54</v>
      </c>
      <c r="H15" s="65" t="s">
        <v>82</v>
      </c>
      <c r="I15" s="2"/>
      <c r="J15" s="2"/>
      <c r="K15" s="2"/>
      <c r="L15" s="2"/>
      <c r="M15" s="2" t="e">
        <f>VLOOKUP(A15,Model!C$2:K$281,2,FALSE)=C15</f>
        <v>#N/A</v>
      </c>
      <c r="N15" s="2" t="e">
        <f>VLOOKUP(A15,Model!C$2:L$137,5,FALSE)=D15</f>
        <v>#N/A</v>
      </c>
      <c r="O15" s="2"/>
      <c r="P15" s="2"/>
      <c r="Q15" s="2" t="e">
        <f>VLOOKUP(C15,Table!A$2:F$105,1,FALSE)=C15</f>
        <v>#N/A</v>
      </c>
      <c r="R15" s="2"/>
      <c r="S15" s="2"/>
      <c r="T15" s="2"/>
      <c r="U15" s="2" t="e">
        <f>VLOOKUP(UPPER(SUBSTITUTE(A15," ","_")),View!A$2:J$158,1,FALSE)</f>
        <v>#N/A</v>
      </c>
      <c r="V15" s="23" t="s">
        <v>48</v>
      </c>
      <c r="W15" s="24" t="s">
        <v>49</v>
      </c>
      <c r="X15" s="23" t="s">
        <v>83</v>
      </c>
      <c r="Y15" s="4" t="s">
        <v>80</v>
      </c>
      <c r="Z15" s="5" t="s">
        <v>54</v>
      </c>
      <c r="AA15" s="26"/>
      <c r="AB15" s="26"/>
    </row>
    <row r="16" spans="1:29" ht="30">
      <c r="A16" s="64" t="s">
        <v>84</v>
      </c>
      <c r="B16" s="40"/>
      <c r="C16" t="s">
        <v>85</v>
      </c>
      <c r="D16" s="24" t="s">
        <v>73</v>
      </c>
      <c r="E16" s="24" t="s">
        <v>54</v>
      </c>
      <c r="F16" s="24" t="s">
        <v>74</v>
      </c>
      <c r="G16" s="24" t="s">
        <v>54</v>
      </c>
      <c r="H16" s="65" t="s">
        <v>86</v>
      </c>
      <c r="I16" s="2"/>
      <c r="J16" s="2"/>
      <c r="K16" s="2"/>
      <c r="L16" s="2"/>
      <c r="M16" s="2" t="e">
        <f>VLOOKUP(A16,Model!C$2:K$281,2,FALSE)=C16</f>
        <v>#N/A</v>
      </c>
      <c r="N16" s="2" t="e">
        <f>VLOOKUP(A16,Model!C$2:L$137,5,FALSE)=D16</f>
        <v>#N/A</v>
      </c>
      <c r="O16" s="2" t="e">
        <f>VLOOKUP(A16,Model!C$2:K$281,8,FALSE)</f>
        <v>#N/A</v>
      </c>
      <c r="P16" s="2"/>
      <c r="Q16" s="2" t="e">
        <f>VLOOKUP(C16,Table!A$2:F$105,1,FALSE)=C16</f>
        <v>#N/A</v>
      </c>
      <c r="R16" s="2"/>
      <c r="S16" s="2"/>
      <c r="T16" s="2"/>
      <c r="U16" s="2" t="e">
        <f>VLOOKUP(UPPER(SUBSTITUTE(A16," ","_")),View!A$2:J$158,1,FALSE)</f>
        <v>#N/A</v>
      </c>
      <c r="V16" s="23" t="s">
        <v>48</v>
      </c>
      <c r="W16" s="24" t="s">
        <v>49</v>
      </c>
      <c r="X16" s="23" t="s">
        <v>87</v>
      </c>
      <c r="Y16" s="4" t="s">
        <v>77</v>
      </c>
      <c r="Z16" s="5" t="s">
        <v>54</v>
      </c>
      <c r="AA16" s="25"/>
      <c r="AB16" s="26"/>
    </row>
    <row r="17" spans="1:28" ht="30">
      <c r="A17" s="64" t="s">
        <v>88</v>
      </c>
      <c r="B17" s="40"/>
      <c r="C17" t="s">
        <v>89</v>
      </c>
      <c r="D17" s="24" t="s">
        <v>90</v>
      </c>
      <c r="E17" s="24" t="s">
        <v>45</v>
      </c>
      <c r="F17" s="24" t="s">
        <v>91</v>
      </c>
      <c r="G17" s="24" t="s">
        <v>45</v>
      </c>
      <c r="H17" s="65" t="s">
        <v>92</v>
      </c>
      <c r="I17" s="2"/>
      <c r="J17" s="2"/>
      <c r="K17" s="2"/>
      <c r="L17" s="2"/>
      <c r="M17" s="56" t="e">
        <f>VLOOKUP(A17,Model!C$2:K$281,2,FALSE)=C17</f>
        <v>#N/A</v>
      </c>
      <c r="N17" s="56" t="e">
        <f>VLOOKUP(A17,Model!C$2:L$137,5,FALSE)=D17</f>
        <v>#N/A</v>
      </c>
      <c r="O17" s="2"/>
      <c r="P17" s="2"/>
      <c r="Q17" s="2" t="e">
        <f>VLOOKUP(C17,Table!A$2:F$105,1,FALSE)=C17</f>
        <v>#N/A</v>
      </c>
      <c r="R17" s="2"/>
      <c r="S17" s="2"/>
      <c r="T17" s="2"/>
      <c r="U17" s="2" t="e">
        <f>VLOOKUP(UPPER(SUBSTITUTE(A17," ","_")),View!A$2:J$158,1,FALSE)</f>
        <v>#N/A</v>
      </c>
      <c r="V17" s="23" t="s">
        <v>48</v>
      </c>
      <c r="W17" s="24" t="s">
        <v>49</v>
      </c>
      <c r="X17" s="23" t="s">
        <v>93</v>
      </c>
      <c r="Y17" s="4" t="s">
        <v>94</v>
      </c>
      <c r="Z17" s="5" t="s">
        <v>54</v>
      </c>
      <c r="AA17" s="25"/>
      <c r="AB17" s="26"/>
    </row>
    <row r="18" spans="1:28" ht="30">
      <c r="A18" s="64" t="s">
        <v>95</v>
      </c>
      <c r="B18" s="40"/>
      <c r="C18" t="s">
        <v>96</v>
      </c>
      <c r="D18" s="24" t="s">
        <v>80</v>
      </c>
      <c r="E18" s="24" t="s">
        <v>54</v>
      </c>
      <c r="F18" s="24" t="s">
        <v>81</v>
      </c>
      <c r="G18" s="24" t="s">
        <v>54</v>
      </c>
      <c r="H18" s="65" t="s">
        <v>97</v>
      </c>
      <c r="I18" s="2"/>
      <c r="J18" s="2"/>
      <c r="K18" s="2"/>
      <c r="L18" s="2"/>
      <c r="M18" s="2" t="e">
        <f>VLOOKUP(A18,Model!C$2:K$281,2,FALSE)=C18</f>
        <v>#N/A</v>
      </c>
      <c r="N18" s="2" t="e">
        <f>VLOOKUP(A18,Model!C$2:L$137,5,FALSE)=D18</f>
        <v>#N/A</v>
      </c>
      <c r="O18" s="2"/>
      <c r="P18" s="2"/>
      <c r="Q18" s="2" t="e">
        <f>VLOOKUP(C18,Table!A$2:F$105,1,FALSE)=C18</f>
        <v>#N/A</v>
      </c>
      <c r="R18" s="2"/>
      <c r="S18" s="2"/>
      <c r="T18" s="2"/>
      <c r="U18" s="2" t="e">
        <f>VLOOKUP(UPPER(SUBSTITUTE(A18," ","_")),View!A$2:J$158,1,FALSE)</f>
        <v>#N/A</v>
      </c>
      <c r="V18" s="23" t="s">
        <v>48</v>
      </c>
      <c r="W18" s="24" t="s">
        <v>49</v>
      </c>
      <c r="X18" s="23" t="s">
        <v>98</v>
      </c>
      <c r="Y18" s="4" t="s">
        <v>80</v>
      </c>
      <c r="Z18" s="5" t="s">
        <v>54</v>
      </c>
      <c r="AA18" s="76"/>
      <c r="AB18" s="77"/>
    </row>
    <row r="19" spans="1:28">
      <c r="A19" s="64" t="s">
        <v>99</v>
      </c>
      <c r="B19" s="50"/>
      <c r="C19" t="s">
        <v>100</v>
      </c>
      <c r="D19" s="24" t="s">
        <v>53</v>
      </c>
      <c r="E19" s="24" t="s">
        <v>54</v>
      </c>
      <c r="F19" s="24" t="s">
        <v>55</v>
      </c>
      <c r="G19" s="24" t="s">
        <v>54</v>
      </c>
      <c r="H19" s="65" t="s">
        <v>101</v>
      </c>
      <c r="I19" s="2"/>
      <c r="J19" s="2"/>
      <c r="K19" s="2"/>
      <c r="L19" s="2"/>
      <c r="M19" s="2" t="e">
        <f>VLOOKUP(A19,Model!C$2:K$281,2,FALSE)=C19</f>
        <v>#N/A</v>
      </c>
      <c r="N19" s="2" t="e">
        <f>VLOOKUP(A19,Model!C$2:L$137,5,FALSE)=D19</f>
        <v>#N/A</v>
      </c>
      <c r="O19" s="2"/>
      <c r="P19" s="2"/>
      <c r="Q19" s="2" t="e">
        <f>VLOOKUP(C19,Table!A$2:F$105,1,FALSE)=C19</f>
        <v>#N/A</v>
      </c>
      <c r="R19" s="2"/>
      <c r="S19" s="2"/>
      <c r="T19" s="2"/>
      <c r="U19" s="2" t="e">
        <f>VLOOKUP(UPPER(SUBSTITUTE(A19," ","_")),View!A$2:J$158,1,FALSE)</f>
        <v>#N/A</v>
      </c>
      <c r="V19" s="23" t="s">
        <v>48</v>
      </c>
      <c r="W19" s="24" t="s">
        <v>49</v>
      </c>
      <c r="X19" s="24" t="s">
        <v>102</v>
      </c>
      <c r="Y19" s="4" t="s">
        <v>58</v>
      </c>
      <c r="Z19" s="5" t="s">
        <v>54</v>
      </c>
      <c r="AA19" s="25"/>
      <c r="AB19" s="26"/>
    </row>
    <row r="20" spans="1:28" ht="19.5" customHeight="1">
      <c r="A20" s="64" t="s">
        <v>103</v>
      </c>
      <c r="B20" s="40"/>
      <c r="C20" t="s">
        <v>104</v>
      </c>
      <c r="D20" s="24" t="s">
        <v>105</v>
      </c>
      <c r="E20" s="24" t="s">
        <v>54</v>
      </c>
      <c r="F20" s="24" t="s">
        <v>106</v>
      </c>
      <c r="G20" s="24" t="s">
        <v>54</v>
      </c>
      <c r="H20" s="65" t="s">
        <v>107</v>
      </c>
      <c r="I20" s="2"/>
      <c r="J20" s="2"/>
      <c r="K20" s="2"/>
      <c r="L20" s="2"/>
      <c r="M20" s="56" t="e">
        <f>VLOOKUP(A20,Model!C$2:K$281,2,FALSE)=C20</f>
        <v>#N/A</v>
      </c>
      <c r="N20" s="56" t="e">
        <f>VLOOKUP(A20,Model!C$2:L$137,5,FALSE)=D20</f>
        <v>#N/A</v>
      </c>
      <c r="O20" s="2"/>
      <c r="P20" s="2"/>
      <c r="Q20" s="2" t="e">
        <f>VLOOKUP(C20,Table!A$2:F$105,1,FALSE)=C20</f>
        <v>#N/A</v>
      </c>
      <c r="R20" s="2"/>
      <c r="S20" s="2"/>
      <c r="T20" s="2"/>
      <c r="U20" s="2" t="e">
        <f>VLOOKUP(UPPER(SUBSTITUTE(A20," ","_")),View!A$2:J$158,1,FALSE)</f>
        <v>#N/A</v>
      </c>
      <c r="V20" s="23" t="s">
        <v>48</v>
      </c>
      <c r="W20" s="24" t="s">
        <v>49</v>
      </c>
      <c r="X20" s="23" t="s">
        <v>108</v>
      </c>
      <c r="Y20" s="4" t="s">
        <v>105</v>
      </c>
      <c r="Z20" s="5" t="s">
        <v>54</v>
      </c>
      <c r="AA20" s="1"/>
      <c r="AB20" s="1"/>
    </row>
    <row r="21" spans="1:28" ht="30">
      <c r="A21" s="64" t="s">
        <v>109</v>
      </c>
      <c r="B21" s="40"/>
      <c r="C21" t="s">
        <v>110</v>
      </c>
      <c r="D21" s="24" t="s">
        <v>111</v>
      </c>
      <c r="E21" s="24" t="s">
        <v>54</v>
      </c>
      <c r="F21" s="24" t="s">
        <v>112</v>
      </c>
      <c r="G21" s="24" t="s">
        <v>54</v>
      </c>
      <c r="H21" s="65" t="s">
        <v>113</v>
      </c>
      <c r="I21" s="2"/>
      <c r="J21" s="2"/>
      <c r="K21" s="2"/>
      <c r="L21" s="2"/>
      <c r="M21" s="2" t="e">
        <f>VLOOKUP(A21,Model!C$2:K$281,2,FALSE)=C21</f>
        <v>#N/A</v>
      </c>
      <c r="N21" s="2" t="e">
        <f>VLOOKUP(A21,Model!C$2:L$137,5,FALSE)=D21</f>
        <v>#N/A</v>
      </c>
      <c r="O21" s="2"/>
      <c r="P21" s="2"/>
      <c r="Q21" s="2" t="e">
        <f>VLOOKUP(C21,Table!A$2:F$105,1,FALSE)=C21</f>
        <v>#N/A</v>
      </c>
      <c r="R21" s="2"/>
      <c r="S21" s="2"/>
      <c r="T21" s="2"/>
      <c r="U21" s="2" t="e">
        <f>VLOOKUP(UPPER(SUBSTITUTE(A21," ","_")),View!A$2:J$158,1,FALSE)</f>
        <v>#N/A</v>
      </c>
      <c r="V21" s="23" t="s">
        <v>48</v>
      </c>
      <c r="W21" s="24" t="s">
        <v>49</v>
      </c>
      <c r="X21" s="58" t="s">
        <v>114</v>
      </c>
      <c r="Y21" s="4" t="s">
        <v>111</v>
      </c>
      <c r="Z21" s="5" t="s">
        <v>54</v>
      </c>
      <c r="AA21" s="25"/>
      <c r="AB21" s="26"/>
    </row>
    <row r="22" spans="1:28">
      <c r="A22" s="64" t="s">
        <v>115</v>
      </c>
      <c r="B22" s="40"/>
      <c r="C22" t="s">
        <v>116</v>
      </c>
      <c r="D22" s="24" t="s">
        <v>117</v>
      </c>
      <c r="E22" s="24" t="s">
        <v>45</v>
      </c>
      <c r="F22" s="24" t="s">
        <v>118</v>
      </c>
      <c r="G22" s="24" t="s">
        <v>45</v>
      </c>
      <c r="H22" s="65" t="s">
        <v>119</v>
      </c>
      <c r="I22" s="2"/>
      <c r="J22" s="2"/>
      <c r="K22" s="2"/>
      <c r="L22" s="2"/>
      <c r="M22" s="56" t="e">
        <f>VLOOKUP(A22,Model!C$2:K$281,2,FALSE)=C22</f>
        <v>#N/A</v>
      </c>
      <c r="N22" s="2" t="e">
        <f>VLOOKUP(A22,Model!C$2:L$137,5,FALSE)=D22</f>
        <v>#N/A</v>
      </c>
      <c r="O22" s="2"/>
      <c r="P22" s="2"/>
      <c r="Q22" s="2" t="e">
        <f>VLOOKUP(C22,Table!A$2:F$105,1,FALSE)=C22</f>
        <v>#N/A</v>
      </c>
      <c r="R22" s="2"/>
      <c r="S22" s="2"/>
      <c r="T22" s="2"/>
      <c r="U22" s="2" t="e">
        <f>VLOOKUP(UPPER(SUBSTITUTE(A22," ","_")),View!A$2:J$158,1,FALSE)</f>
        <v>#N/A</v>
      </c>
      <c r="V22" s="23" t="s">
        <v>48</v>
      </c>
      <c r="W22" s="24" t="s">
        <v>49</v>
      </c>
      <c r="X22" s="23" t="s">
        <v>120</v>
      </c>
      <c r="Y22" s="4" t="s">
        <v>121</v>
      </c>
      <c r="Z22" s="5" t="s">
        <v>54</v>
      </c>
      <c r="AA22" s="26"/>
      <c r="AB22" s="26"/>
    </row>
    <row r="23" spans="1:28" ht="30">
      <c r="A23" s="64" t="s">
        <v>122</v>
      </c>
      <c r="B23" s="40"/>
      <c r="C23" t="s">
        <v>123</v>
      </c>
      <c r="D23" s="24" t="s">
        <v>124</v>
      </c>
      <c r="E23" s="24" t="s">
        <v>54</v>
      </c>
      <c r="F23" s="24" t="s">
        <v>125</v>
      </c>
      <c r="G23" s="24" t="s">
        <v>54</v>
      </c>
      <c r="H23" s="65" t="s">
        <v>126</v>
      </c>
      <c r="I23" s="2"/>
      <c r="J23" s="2"/>
      <c r="K23" s="2"/>
      <c r="L23" s="2"/>
      <c r="M23" s="56" t="e">
        <f>VLOOKUP(A23,Model!C$2:K$281,2,FALSE)=C23</f>
        <v>#N/A</v>
      </c>
      <c r="N23" s="56" t="e">
        <f>VLOOKUP(A23,Model!C$2:L$137,5,FALSE)=D23</f>
        <v>#N/A</v>
      </c>
      <c r="O23" s="2"/>
      <c r="P23" s="2"/>
      <c r="Q23" s="2" t="e">
        <f>VLOOKUP(C23,Table!A$2:F$105,1,FALSE)=C23</f>
        <v>#N/A</v>
      </c>
      <c r="R23" s="2"/>
      <c r="S23" s="2"/>
      <c r="T23" s="2"/>
      <c r="U23" s="2" t="e">
        <f>VLOOKUP(UPPER(SUBSTITUTE(A23," ","_")),View!A$2:J$158,1,FALSE)</f>
        <v>#N/A</v>
      </c>
      <c r="V23" s="23" t="s">
        <v>48</v>
      </c>
      <c r="W23" s="24" t="s">
        <v>49</v>
      </c>
      <c r="X23" s="23" t="s">
        <v>127</v>
      </c>
      <c r="Y23" s="4" t="s">
        <v>128</v>
      </c>
      <c r="Z23" s="5" t="s">
        <v>54</v>
      </c>
      <c r="AA23" s="25"/>
      <c r="AB23" s="26"/>
    </row>
    <row r="24" spans="1:28" ht="45">
      <c r="A24" s="64" t="s">
        <v>129</v>
      </c>
      <c r="B24" s="40"/>
      <c r="C24" t="s">
        <v>130</v>
      </c>
      <c r="D24" s="24" t="s">
        <v>80</v>
      </c>
      <c r="E24" s="24" t="s">
        <v>54</v>
      </c>
      <c r="F24" s="24" t="s">
        <v>81</v>
      </c>
      <c r="G24" s="24" t="s">
        <v>54</v>
      </c>
      <c r="H24" s="65" t="s">
        <v>131</v>
      </c>
      <c r="I24" s="2"/>
      <c r="J24" s="2"/>
      <c r="K24" s="2"/>
      <c r="L24" s="2"/>
      <c r="M24" s="2" t="e">
        <f>VLOOKUP(A24,Model!C$2:K$281,2,FALSE)=C24</f>
        <v>#N/A</v>
      </c>
      <c r="N24" s="2" t="e">
        <f>VLOOKUP(A24,Model!C$2:L$137,5,FALSE)=D24</f>
        <v>#N/A</v>
      </c>
      <c r="O24" s="2"/>
      <c r="P24" s="2"/>
      <c r="Q24" s="2" t="e">
        <f>VLOOKUP(C24,Table!A$2:F$105,1,FALSE)=C24</f>
        <v>#N/A</v>
      </c>
      <c r="R24" s="2"/>
      <c r="S24" s="2"/>
      <c r="T24" s="2"/>
      <c r="U24" s="2" t="e">
        <f>VLOOKUP(UPPER(SUBSTITUTE(A24," ","_")),View!A$2:J$158,1,FALSE)</f>
        <v>#N/A</v>
      </c>
      <c r="V24" s="23" t="s">
        <v>48</v>
      </c>
      <c r="W24" s="24" t="s">
        <v>49</v>
      </c>
      <c r="X24" s="23" t="s">
        <v>132</v>
      </c>
      <c r="Y24" s="4" t="s">
        <v>80</v>
      </c>
      <c r="Z24" s="5" t="s">
        <v>54</v>
      </c>
      <c r="AA24" s="25"/>
      <c r="AB24" s="26"/>
    </row>
    <row r="25" spans="1:28">
      <c r="A25" s="64" t="s">
        <v>133</v>
      </c>
      <c r="B25" s="40"/>
      <c r="C25" t="s">
        <v>134</v>
      </c>
      <c r="D25" s="24" t="s">
        <v>105</v>
      </c>
      <c r="E25" s="24" t="s">
        <v>54</v>
      </c>
      <c r="F25" s="24" t="s">
        <v>106</v>
      </c>
      <c r="G25" s="24" t="s">
        <v>54</v>
      </c>
      <c r="H25" s="65" t="s">
        <v>135</v>
      </c>
      <c r="I25" s="2"/>
      <c r="J25" s="2"/>
      <c r="K25" s="2"/>
      <c r="L25" s="2"/>
      <c r="M25" s="56" t="e">
        <f>VLOOKUP(A25,Model!C$2:K$281,2,FALSE)=C25</f>
        <v>#N/A</v>
      </c>
      <c r="N25" s="56" t="e">
        <f>VLOOKUP(A25,Model!C$2:L$137,5,FALSE)=D25</f>
        <v>#N/A</v>
      </c>
      <c r="O25" s="2"/>
      <c r="P25" s="2"/>
      <c r="Q25" s="2" t="e">
        <f>VLOOKUP(C25,Table!A$2:F$105,1,FALSE)=C25</f>
        <v>#N/A</v>
      </c>
      <c r="R25" s="2"/>
      <c r="S25" s="2"/>
      <c r="T25" s="2"/>
      <c r="U25" s="2" t="e">
        <f>VLOOKUP(UPPER(SUBSTITUTE(A25," ","_")),View!A$2:J$158,1,FALSE)</f>
        <v>#N/A</v>
      </c>
      <c r="V25" s="23" t="s">
        <v>48</v>
      </c>
      <c r="W25" s="24" t="s">
        <v>49</v>
      </c>
      <c r="X25" s="23" t="s">
        <v>136</v>
      </c>
      <c r="Y25" s="4" t="s">
        <v>105</v>
      </c>
      <c r="Z25" s="5" t="s">
        <v>54</v>
      </c>
      <c r="AA25" s="26"/>
      <c r="AB25" s="26"/>
    </row>
    <row r="26" spans="1:28">
      <c r="A26" s="64" t="s">
        <v>137</v>
      </c>
      <c r="B26" s="40"/>
      <c r="C26" t="s">
        <v>138</v>
      </c>
      <c r="D26" s="24" t="s">
        <v>105</v>
      </c>
      <c r="E26" s="24" t="s">
        <v>54</v>
      </c>
      <c r="F26" s="24" t="s">
        <v>106</v>
      </c>
      <c r="G26" s="24" t="s">
        <v>54</v>
      </c>
      <c r="H26" s="65" t="s">
        <v>139</v>
      </c>
      <c r="I26" s="2"/>
      <c r="J26" s="2"/>
      <c r="K26" s="2"/>
      <c r="L26" s="2"/>
      <c r="M26" s="2" t="e">
        <f>VLOOKUP(A26,Model!C$2:K$281,2,FALSE)=C26</f>
        <v>#N/A</v>
      </c>
      <c r="N26" s="2" t="e">
        <f>VLOOKUP(A26,Model!C$2:L$137,5,FALSE)=D26</f>
        <v>#N/A</v>
      </c>
      <c r="O26" s="2"/>
      <c r="P26" s="2"/>
      <c r="Q26" s="2" t="e">
        <f>VLOOKUP(C26,Table!A$2:F$105,1,FALSE)=C26</f>
        <v>#N/A</v>
      </c>
      <c r="R26" s="2"/>
      <c r="S26" s="2"/>
      <c r="T26" s="2"/>
      <c r="U26" s="2" t="e">
        <f>VLOOKUP(UPPER(SUBSTITUTE(A26," ","_")),View!A$2:J$158,1,FALSE)</f>
        <v>#N/A</v>
      </c>
      <c r="V26" s="23" t="s">
        <v>48</v>
      </c>
      <c r="W26" s="24" t="s">
        <v>49</v>
      </c>
      <c r="X26" s="23" t="s">
        <v>140</v>
      </c>
      <c r="Y26" s="4" t="s">
        <v>105</v>
      </c>
      <c r="Z26" s="5" t="s">
        <v>54</v>
      </c>
      <c r="AA26" s="25"/>
      <c r="AB26" s="26"/>
    </row>
    <row r="27" spans="1:28">
      <c r="A27" s="64" t="s">
        <v>141</v>
      </c>
      <c r="B27" s="40"/>
      <c r="C27" t="s">
        <v>142</v>
      </c>
      <c r="D27" s="24" t="s">
        <v>53</v>
      </c>
      <c r="E27" s="24" t="s">
        <v>54</v>
      </c>
      <c r="F27" s="24" t="s">
        <v>55</v>
      </c>
      <c r="G27" s="24" t="s">
        <v>54</v>
      </c>
      <c r="H27" s="65" t="s">
        <v>143</v>
      </c>
      <c r="I27" s="2"/>
      <c r="J27" s="2"/>
      <c r="K27" s="2"/>
      <c r="L27" s="2"/>
      <c r="M27" s="56" t="e">
        <f>VLOOKUP(A27,Model!C$2:K$281,2,FALSE)=C27</f>
        <v>#N/A</v>
      </c>
      <c r="N27" s="56" t="e">
        <f>VLOOKUP(A27,Model!C$2:L$137,5,FALSE)=D27</f>
        <v>#N/A</v>
      </c>
      <c r="O27" s="2"/>
      <c r="P27" s="2"/>
      <c r="Q27" s="2" t="e">
        <f>VLOOKUP(C27,Table!A$2:F$105,1,FALSE)=C27</f>
        <v>#N/A</v>
      </c>
      <c r="R27" s="2"/>
      <c r="S27" s="2"/>
      <c r="T27" s="2"/>
      <c r="U27" s="2" t="e">
        <f>VLOOKUP(UPPER(SUBSTITUTE(A27," ","_")),View!A$2:J$158,1,FALSE)</f>
        <v>#N/A</v>
      </c>
      <c r="V27" s="23" t="s">
        <v>48</v>
      </c>
      <c r="W27" s="24" t="s">
        <v>49</v>
      </c>
      <c r="X27" s="23" t="s">
        <v>144</v>
      </c>
      <c r="Y27" s="4" t="s">
        <v>58</v>
      </c>
      <c r="Z27" s="5" t="s">
        <v>54</v>
      </c>
      <c r="AA27" s="25"/>
      <c r="AB27" s="26"/>
    </row>
    <row r="28" spans="1:28">
      <c r="A28" s="64" t="s">
        <v>145</v>
      </c>
      <c r="B28" s="40"/>
      <c r="C28" t="s">
        <v>146</v>
      </c>
      <c r="D28" s="24" t="s">
        <v>105</v>
      </c>
      <c r="E28" s="24" t="s">
        <v>54</v>
      </c>
      <c r="F28" s="24" t="s">
        <v>106</v>
      </c>
      <c r="G28" s="24" t="s">
        <v>54</v>
      </c>
      <c r="H28" s="65" t="s">
        <v>147</v>
      </c>
      <c r="I28" s="2"/>
      <c r="J28" s="2"/>
      <c r="K28" s="2"/>
      <c r="L28" s="2"/>
      <c r="M28" s="2" t="e">
        <f>VLOOKUP(A28,Model!C$2:K$281,2,FALSE)=C28</f>
        <v>#N/A</v>
      </c>
      <c r="N28" s="2" t="e">
        <f>VLOOKUP(A28,Model!C$2:L$137,5,FALSE)=D28</f>
        <v>#N/A</v>
      </c>
      <c r="O28" s="2"/>
      <c r="P28" s="2"/>
      <c r="Q28" s="2" t="e">
        <f>VLOOKUP(C28,Table!A$2:F$105,1,FALSE)=C28</f>
        <v>#N/A</v>
      </c>
      <c r="R28" s="2"/>
      <c r="S28" s="2"/>
      <c r="T28" s="2"/>
      <c r="U28" s="2" t="e">
        <f>VLOOKUP(UPPER(SUBSTITUTE(A28," ","_")),View!A$2:J$158,1,FALSE)</f>
        <v>#N/A</v>
      </c>
      <c r="V28" s="23" t="s">
        <v>48</v>
      </c>
      <c r="W28" s="24" t="s">
        <v>49</v>
      </c>
      <c r="X28" s="23" t="s">
        <v>148</v>
      </c>
      <c r="Y28" s="4" t="s">
        <v>105</v>
      </c>
      <c r="Z28" s="5" t="s">
        <v>54</v>
      </c>
      <c r="AA28" s="1"/>
      <c r="AB28" s="1"/>
    </row>
    <row r="29" spans="1:28" ht="75">
      <c r="A29" s="64" t="s">
        <v>149</v>
      </c>
      <c r="B29" s="40"/>
      <c r="C29" t="s">
        <v>150</v>
      </c>
      <c r="D29" s="24" t="s">
        <v>80</v>
      </c>
      <c r="E29" s="24" t="s">
        <v>54</v>
      </c>
      <c r="F29" s="24" t="s">
        <v>81</v>
      </c>
      <c r="G29" s="24" t="s">
        <v>54</v>
      </c>
      <c r="H29" s="65" t="s">
        <v>151</v>
      </c>
      <c r="I29" s="2"/>
      <c r="J29" s="2"/>
      <c r="K29" s="2"/>
      <c r="L29" s="2"/>
      <c r="M29" s="2" t="e">
        <f>VLOOKUP(A29,Model!C$2:K$281,2,FALSE)=C29</f>
        <v>#N/A</v>
      </c>
      <c r="N29" s="2" t="e">
        <f>VLOOKUP(A29,Model!C$2:L$137,5,FALSE)=D29</f>
        <v>#N/A</v>
      </c>
      <c r="O29" s="2"/>
      <c r="P29" s="2"/>
      <c r="Q29" s="2" t="e">
        <f>VLOOKUP(C29,Table!A$2:F$105,1,FALSE)=C29</f>
        <v>#N/A</v>
      </c>
      <c r="R29" s="2"/>
      <c r="S29" s="2"/>
      <c r="T29" s="2"/>
      <c r="U29" s="2" t="e">
        <f>VLOOKUP(UPPER(SUBSTITUTE(A29," ","_")),View!A$2:J$158,1,FALSE)</f>
        <v>#N/A</v>
      </c>
      <c r="V29" s="23" t="s">
        <v>48</v>
      </c>
      <c r="W29" s="24" t="s">
        <v>49</v>
      </c>
      <c r="X29" s="24" t="s">
        <v>152</v>
      </c>
      <c r="Y29" s="4" t="s">
        <v>80</v>
      </c>
      <c r="Z29" s="5" t="s">
        <v>54</v>
      </c>
      <c r="AA29" s="78"/>
      <c r="AB29" s="79"/>
    </row>
    <row r="30" spans="1:28" ht="30">
      <c r="A30" s="64" t="s">
        <v>153</v>
      </c>
      <c r="B30" s="40"/>
      <c r="C30" t="s">
        <v>154</v>
      </c>
      <c r="D30" s="24" t="s">
        <v>44</v>
      </c>
      <c r="E30" s="24" t="s">
        <v>45</v>
      </c>
      <c r="F30" s="24" t="s">
        <v>46</v>
      </c>
      <c r="G30" s="24" t="s">
        <v>45</v>
      </c>
      <c r="H30" s="65" t="s">
        <v>155</v>
      </c>
      <c r="I30" s="2"/>
      <c r="J30" s="2"/>
      <c r="K30" s="2"/>
      <c r="L30" s="2"/>
      <c r="M30" s="2" t="e">
        <f>VLOOKUP(A30,Model!C$2:K$281,2,FALSE)=C30</f>
        <v>#N/A</v>
      </c>
      <c r="N30" s="2" t="e">
        <f>VLOOKUP(A30,Model!C$2:L$137,5,FALSE)=D30</f>
        <v>#N/A</v>
      </c>
      <c r="O30" s="2"/>
      <c r="P30" s="2"/>
      <c r="Q30" s="2" t="e">
        <f>VLOOKUP(C30,Table!A$2:F$105,1,FALSE)=C30</f>
        <v>#N/A</v>
      </c>
      <c r="R30" s="2"/>
      <c r="S30" s="2"/>
      <c r="T30" s="2"/>
      <c r="U30" s="2" t="e">
        <f>VLOOKUP(UPPER(SUBSTITUTE(A30," ","_")),View!A$2:J$158,1,FALSE)</f>
        <v>#N/A</v>
      </c>
      <c r="V30" s="23" t="s">
        <v>48</v>
      </c>
      <c r="W30" s="24" t="s">
        <v>49</v>
      </c>
      <c r="X30" s="23" t="s">
        <v>156</v>
      </c>
      <c r="Y30" s="4" t="s">
        <v>44</v>
      </c>
      <c r="Z30" s="5" t="s">
        <v>54</v>
      </c>
      <c r="AA30" s="25"/>
      <c r="AB30" s="26"/>
    </row>
    <row r="31" spans="1:28" ht="75">
      <c r="A31" s="64" t="s">
        <v>157</v>
      </c>
      <c r="B31" s="40"/>
      <c r="C31" t="s">
        <v>158</v>
      </c>
      <c r="D31" s="24" t="s">
        <v>80</v>
      </c>
      <c r="E31" s="24" t="s">
        <v>54</v>
      </c>
      <c r="F31" s="24" t="s">
        <v>81</v>
      </c>
      <c r="G31" s="24" t="s">
        <v>54</v>
      </c>
      <c r="H31" s="65" t="s">
        <v>159</v>
      </c>
      <c r="I31" s="2"/>
      <c r="J31" s="2"/>
      <c r="K31" s="2"/>
      <c r="L31" s="2"/>
      <c r="M31" s="2" t="e">
        <f>VLOOKUP(A31,Model!C$2:K$281,2,FALSE)=C31</f>
        <v>#N/A</v>
      </c>
      <c r="N31" s="2" t="e">
        <f>VLOOKUP(A31,Model!C$2:L$137,5,FALSE)=D31</f>
        <v>#N/A</v>
      </c>
      <c r="O31" s="2"/>
      <c r="P31" s="2"/>
      <c r="Q31" s="2" t="e">
        <f>VLOOKUP(C31,Table!A$2:F$105,1,FALSE)=C31</f>
        <v>#N/A</v>
      </c>
      <c r="R31" s="2"/>
      <c r="S31" s="2"/>
      <c r="T31" s="2"/>
      <c r="U31" s="2" t="e">
        <f>VLOOKUP(UPPER(SUBSTITUTE(A31," ","_")),View!A$2:J$158,1,FALSE)</f>
        <v>#N/A</v>
      </c>
      <c r="V31" s="23" t="s">
        <v>48</v>
      </c>
      <c r="W31" s="24" t="s">
        <v>49</v>
      </c>
      <c r="X31" s="24" t="s">
        <v>160</v>
      </c>
      <c r="Y31" s="4" t="s">
        <v>80</v>
      </c>
      <c r="Z31" s="60" t="s">
        <v>54</v>
      </c>
      <c r="AA31" s="25"/>
      <c r="AB31" s="26"/>
    </row>
    <row r="32" spans="1:28" ht="165">
      <c r="A32" s="64" t="s">
        <v>161</v>
      </c>
      <c r="B32" s="40"/>
      <c r="C32" t="s">
        <v>162</v>
      </c>
      <c r="D32" s="24" t="s">
        <v>124</v>
      </c>
      <c r="E32" s="24" t="s">
        <v>54</v>
      </c>
      <c r="F32" s="24" t="s">
        <v>125</v>
      </c>
      <c r="G32" s="24" t="s">
        <v>54</v>
      </c>
      <c r="H32" s="65" t="s">
        <v>163</v>
      </c>
      <c r="I32" s="2"/>
      <c r="J32" s="2"/>
      <c r="K32" s="2"/>
      <c r="L32" s="2"/>
      <c r="M32" s="2" t="e">
        <f>VLOOKUP(A32,Model!C$2:K$281,2,FALSE)=C32</f>
        <v>#N/A</v>
      </c>
      <c r="N32" s="2" t="e">
        <f>VLOOKUP(A32,Model!C$2:L$137,5,FALSE)=D32</f>
        <v>#N/A</v>
      </c>
      <c r="O32" s="2"/>
      <c r="P32" s="2"/>
      <c r="Q32" s="2" t="e">
        <f>VLOOKUP(C32,Table!A$2:F$105,1,FALSE)=C32</f>
        <v>#N/A</v>
      </c>
      <c r="R32" s="2"/>
      <c r="S32" s="2"/>
      <c r="T32" s="2"/>
      <c r="U32" s="2" t="e">
        <f>VLOOKUP(UPPER(SUBSTITUTE(A32," ","_")),View!A$2:J$158,1,FALSE)</f>
        <v>#N/A</v>
      </c>
      <c r="V32" s="23" t="s">
        <v>48</v>
      </c>
      <c r="W32" s="24" t="s">
        <v>49</v>
      </c>
      <c r="X32" s="24" t="s">
        <v>164</v>
      </c>
      <c r="Y32" s="4" t="s">
        <v>128</v>
      </c>
      <c r="Z32" s="5" t="s">
        <v>54</v>
      </c>
      <c r="AA32" s="76"/>
      <c r="AB32" s="77"/>
    </row>
    <row r="33" spans="1:28" ht="30">
      <c r="A33" s="64" t="s">
        <v>165</v>
      </c>
      <c r="B33" s="40"/>
      <c r="C33" t="s">
        <v>166</v>
      </c>
      <c r="D33" s="24" t="s">
        <v>80</v>
      </c>
      <c r="E33" s="24" t="s">
        <v>54</v>
      </c>
      <c r="F33" s="24" t="s">
        <v>81</v>
      </c>
      <c r="G33" s="24" t="s">
        <v>54</v>
      </c>
      <c r="H33" s="65" t="s">
        <v>167</v>
      </c>
      <c r="I33" s="2"/>
      <c r="J33" s="2"/>
      <c r="K33" s="2"/>
      <c r="L33" s="2"/>
      <c r="M33" s="2" t="e">
        <f>VLOOKUP(A33,Model!C$2:K$281,2,FALSE)=C33</f>
        <v>#N/A</v>
      </c>
      <c r="N33" s="2" t="e">
        <f>VLOOKUP(A33,Model!C$2:L$137,5,FALSE)=D33</f>
        <v>#N/A</v>
      </c>
      <c r="O33" s="2"/>
      <c r="P33" s="2"/>
      <c r="Q33" s="2" t="e">
        <f>VLOOKUP(C33,Table!A$2:F$105,1,FALSE)=C33</f>
        <v>#N/A</v>
      </c>
      <c r="R33" s="2"/>
      <c r="S33" s="2"/>
      <c r="T33" s="2"/>
      <c r="U33" s="2" t="e">
        <f>VLOOKUP(UPPER(SUBSTITUTE(A33," ","_")),View!A$2:J$158,1,FALSE)</f>
        <v>#N/A</v>
      </c>
      <c r="V33" s="23" t="s">
        <v>48</v>
      </c>
      <c r="W33" s="24" t="s">
        <v>49</v>
      </c>
      <c r="X33" s="24" t="s">
        <v>168</v>
      </c>
      <c r="Y33" s="4" t="s">
        <v>80</v>
      </c>
      <c r="Z33" s="5" t="s">
        <v>54</v>
      </c>
      <c r="AA33" s="25"/>
      <c r="AB33" s="26"/>
    </row>
    <row r="34" spans="1:28" ht="30">
      <c r="A34" s="64" t="s">
        <v>169</v>
      </c>
      <c r="B34" s="40"/>
      <c r="C34" t="s">
        <v>170</v>
      </c>
      <c r="D34" s="24" t="s">
        <v>124</v>
      </c>
      <c r="E34" s="24" t="s">
        <v>54</v>
      </c>
      <c r="F34" s="24" t="s">
        <v>125</v>
      </c>
      <c r="G34" s="24" t="s">
        <v>54</v>
      </c>
      <c r="H34" s="65" t="s">
        <v>171</v>
      </c>
      <c r="I34" s="2"/>
      <c r="J34" s="2"/>
      <c r="K34" s="2"/>
      <c r="L34" s="2"/>
      <c r="M34" s="2" t="e">
        <f>VLOOKUP(A34,Model!C$2:K$281,2,FALSE)=C34</f>
        <v>#N/A</v>
      </c>
      <c r="N34" s="2" t="e">
        <f>VLOOKUP(A34,Model!C$2:L$137,5,FALSE)=D34</f>
        <v>#N/A</v>
      </c>
      <c r="O34" s="2"/>
      <c r="P34" s="2"/>
      <c r="Q34" s="2" t="e">
        <f>VLOOKUP(C34,Table!A$2:F$105,1,FALSE)=C34</f>
        <v>#N/A</v>
      </c>
      <c r="R34" s="2"/>
      <c r="S34" s="2"/>
      <c r="T34" s="2"/>
      <c r="U34" s="2" t="e">
        <f>VLOOKUP(UPPER(SUBSTITUTE(A34," ","_")),View!A$2:J$158,1,FALSE)</f>
        <v>#N/A</v>
      </c>
      <c r="V34" s="23" t="s">
        <v>48</v>
      </c>
      <c r="W34" s="24" t="s">
        <v>49</v>
      </c>
      <c r="X34" s="24" t="s">
        <v>172</v>
      </c>
      <c r="Y34" s="4" t="s">
        <v>128</v>
      </c>
      <c r="Z34" s="5" t="s">
        <v>54</v>
      </c>
      <c r="AA34" s="25"/>
      <c r="AB34" s="26"/>
    </row>
    <row r="35" spans="1:28" ht="30">
      <c r="A35" s="64" t="s">
        <v>173</v>
      </c>
      <c r="B35" s="40"/>
      <c r="C35" t="s">
        <v>174</v>
      </c>
      <c r="D35" s="24" t="s">
        <v>124</v>
      </c>
      <c r="E35" s="24" t="s">
        <v>45</v>
      </c>
      <c r="F35" s="24" t="s">
        <v>125</v>
      </c>
      <c r="G35" s="24" t="s">
        <v>45</v>
      </c>
      <c r="H35" s="65" t="s">
        <v>175</v>
      </c>
      <c r="I35" s="2"/>
      <c r="J35" s="2"/>
      <c r="K35" s="2"/>
      <c r="L35" s="2"/>
      <c r="M35" s="2" t="e">
        <f>VLOOKUP(A35,Model!C$2:K$281,2,FALSE)=C35</f>
        <v>#N/A</v>
      </c>
      <c r="N35" s="2" t="e">
        <f>VLOOKUP(A35,Model!C$2:L$137,5,FALSE)=D35</f>
        <v>#N/A</v>
      </c>
      <c r="O35" s="2"/>
      <c r="P35" s="2"/>
      <c r="Q35" s="2" t="e">
        <f>VLOOKUP(C35,Table!A$2:F$105,1,FALSE)=C35</f>
        <v>#N/A</v>
      </c>
      <c r="R35" s="2"/>
      <c r="S35" s="2"/>
      <c r="T35" s="2"/>
      <c r="U35" s="2" t="e">
        <f>VLOOKUP(UPPER(SUBSTITUTE(A35," ","_")),View!A$2:J$158,1,FALSE)</f>
        <v>#N/A</v>
      </c>
      <c r="V35" s="23" t="s">
        <v>48</v>
      </c>
      <c r="W35" s="24" t="s">
        <v>49</v>
      </c>
      <c r="X35" s="23" t="s">
        <v>176</v>
      </c>
      <c r="Y35" s="4" t="s">
        <v>128</v>
      </c>
      <c r="Z35" s="5" t="s">
        <v>54</v>
      </c>
      <c r="AA35" s="25"/>
      <c r="AB35" s="26"/>
    </row>
    <row r="36" spans="1:28" ht="210">
      <c r="A36" s="2" t="s">
        <v>177</v>
      </c>
      <c r="B36" s="40"/>
      <c r="C36" t="s">
        <v>178</v>
      </c>
      <c r="D36" s="24" t="s">
        <v>111</v>
      </c>
      <c r="E36" s="24" t="s">
        <v>45</v>
      </c>
      <c r="F36" s="24" t="s">
        <v>112</v>
      </c>
      <c r="G36" s="24" t="s">
        <v>45</v>
      </c>
      <c r="H36" s="65" t="s">
        <v>179</v>
      </c>
      <c r="I36" s="2"/>
      <c r="J36" s="2"/>
      <c r="K36" s="2"/>
      <c r="L36" s="2"/>
      <c r="M36" s="56" t="e">
        <f>VLOOKUP(A36,Model!C$2:K$281,2,FALSE)=C36</f>
        <v>#N/A</v>
      </c>
      <c r="N36" s="56" t="e">
        <f>VLOOKUP(A36,Model!C$2:L$137,5,FALSE)=D36</f>
        <v>#N/A</v>
      </c>
      <c r="O36" s="2"/>
      <c r="P36" s="2"/>
      <c r="Q36" s="2" t="e">
        <f>VLOOKUP(C36,Table!A$2:F$105,1,FALSE)=C36</f>
        <v>#N/A</v>
      </c>
      <c r="R36" s="2"/>
      <c r="S36" s="2"/>
      <c r="T36" s="2"/>
      <c r="U36" s="2" t="e">
        <f>VLOOKUP(UPPER(SUBSTITUTE(A36," ","_")),View!A$2:J$158,1,FALSE)</f>
        <v>#N/A</v>
      </c>
      <c r="V36" s="23" t="s">
        <v>48</v>
      </c>
      <c r="W36" s="24" t="s">
        <v>49</v>
      </c>
      <c r="X36" s="23" t="s">
        <v>180</v>
      </c>
      <c r="Y36" s="4" t="s">
        <v>111</v>
      </c>
      <c r="Z36" s="5" t="s">
        <v>54</v>
      </c>
      <c r="AA36" s="25"/>
      <c r="AB36" s="26"/>
    </row>
    <row r="37" spans="1:28">
      <c r="A37" s="64" t="s">
        <v>181</v>
      </c>
      <c r="B37" s="40"/>
      <c r="C37" t="s">
        <v>182</v>
      </c>
      <c r="D37" s="24" t="s">
        <v>61</v>
      </c>
      <c r="E37" s="24" t="s">
        <v>54</v>
      </c>
      <c r="F37" s="24" t="s">
        <v>62</v>
      </c>
      <c r="G37" s="24" t="s">
        <v>54</v>
      </c>
      <c r="H37" s="65" t="s">
        <v>183</v>
      </c>
      <c r="I37" s="2"/>
      <c r="J37" s="2"/>
      <c r="K37" s="2"/>
      <c r="L37" s="2"/>
      <c r="M37" s="2" t="e">
        <f>VLOOKUP(A37,Model!C$2:K$281,2,FALSE)=C37</f>
        <v>#N/A</v>
      </c>
      <c r="N37" s="2" t="e">
        <f>VLOOKUP(A37,Model!C$2:L$137,5,FALSE)=D37</f>
        <v>#N/A</v>
      </c>
      <c r="O37" s="2"/>
      <c r="P37" s="2"/>
      <c r="Q37" s="2" t="e">
        <f>VLOOKUP(C37,Table!A$2:F$105,1,FALSE)=C37</f>
        <v>#N/A</v>
      </c>
      <c r="R37" s="2"/>
      <c r="S37" s="2"/>
      <c r="T37" s="2"/>
      <c r="U37" s="2" t="e">
        <f>VLOOKUP(UPPER(SUBSTITUTE(A37," ","_")),View!A$2:J$158,1,FALSE)</f>
        <v>#N/A</v>
      </c>
      <c r="V37" s="23" t="s">
        <v>48</v>
      </c>
      <c r="W37" s="24" t="s">
        <v>49</v>
      </c>
      <c r="X37" s="23" t="s">
        <v>184</v>
      </c>
      <c r="Y37" s="4" t="s">
        <v>61</v>
      </c>
      <c r="Z37" s="5" t="s">
        <v>54</v>
      </c>
      <c r="AA37" s="25"/>
      <c r="AB37" s="26"/>
    </row>
    <row r="38" spans="1:28">
      <c r="A38" s="64" t="s">
        <v>185</v>
      </c>
      <c r="B38" s="40"/>
      <c r="C38" t="s">
        <v>186</v>
      </c>
      <c r="D38" s="24" t="s">
        <v>61</v>
      </c>
      <c r="E38" s="24" t="s">
        <v>54</v>
      </c>
      <c r="F38" s="24" t="s">
        <v>62</v>
      </c>
      <c r="G38" s="24" t="s">
        <v>54</v>
      </c>
      <c r="H38" s="65" t="s">
        <v>187</v>
      </c>
      <c r="I38" s="2"/>
      <c r="J38" s="2"/>
      <c r="K38" s="2"/>
      <c r="L38" s="2"/>
      <c r="M38" s="2" t="e">
        <f>VLOOKUP(A38,Model!C$2:K$281,2,FALSE)=C38</f>
        <v>#N/A</v>
      </c>
      <c r="N38" s="2" t="e">
        <f>VLOOKUP(A38,Model!C$2:L$137,5,FALSE)=D38</f>
        <v>#N/A</v>
      </c>
      <c r="O38" s="2"/>
      <c r="P38" s="2"/>
      <c r="Q38" s="2" t="e">
        <f>VLOOKUP(C38,Table!A$2:F$105,1,FALSE)=C38</f>
        <v>#N/A</v>
      </c>
      <c r="R38" s="2"/>
      <c r="S38" s="2"/>
      <c r="T38" s="2"/>
      <c r="U38" s="2" t="e">
        <f>VLOOKUP(UPPER(SUBSTITUTE(A38," ","_")),View!A$2:J$158,1,FALSE)</f>
        <v>#N/A</v>
      </c>
      <c r="V38" s="23" t="s">
        <v>48</v>
      </c>
      <c r="W38" s="24" t="s">
        <v>49</v>
      </c>
      <c r="X38" s="23" t="s">
        <v>188</v>
      </c>
      <c r="Y38" s="4" t="s">
        <v>61</v>
      </c>
      <c r="Z38" s="5" t="s">
        <v>54</v>
      </c>
      <c r="AA38" s="25"/>
      <c r="AB38" s="26"/>
    </row>
    <row r="39" spans="1:28" ht="30">
      <c r="A39" s="64" t="s">
        <v>189</v>
      </c>
      <c r="B39" s="40"/>
      <c r="C39" t="s">
        <v>190</v>
      </c>
      <c r="D39" s="24" t="s">
        <v>61</v>
      </c>
      <c r="E39" s="24" t="s">
        <v>54</v>
      </c>
      <c r="F39" s="24" t="s">
        <v>62</v>
      </c>
      <c r="G39" s="24" t="s">
        <v>54</v>
      </c>
      <c r="H39" s="65" t="s">
        <v>191</v>
      </c>
      <c r="I39" s="2"/>
      <c r="J39" s="2"/>
      <c r="K39" s="2"/>
      <c r="L39" s="2"/>
      <c r="M39" s="2" t="e">
        <f>VLOOKUP(A39,Model!C$2:K$281,2,FALSE)=C39</f>
        <v>#N/A</v>
      </c>
      <c r="N39" s="2" t="e">
        <f>VLOOKUP(A39,Model!C$2:L$137,5,FALSE)=D39</f>
        <v>#N/A</v>
      </c>
      <c r="O39" s="2"/>
      <c r="P39" s="2"/>
      <c r="Q39" s="2" t="e">
        <f>VLOOKUP(C39,Table!A$2:F$105,1,FALSE)=C39</f>
        <v>#N/A</v>
      </c>
      <c r="R39" s="2"/>
      <c r="S39" s="2"/>
      <c r="T39" s="2"/>
      <c r="U39" s="2" t="e">
        <f>VLOOKUP(UPPER(SUBSTITUTE(A39," ","_")),View!A$2:J$158,1,FALSE)</f>
        <v>#N/A</v>
      </c>
      <c r="V39" s="23" t="s">
        <v>48</v>
      </c>
      <c r="W39" s="24" t="s">
        <v>49</v>
      </c>
      <c r="X39" s="23" t="s">
        <v>192</v>
      </c>
      <c r="Y39" s="4" t="s">
        <v>61</v>
      </c>
      <c r="Z39" s="5" t="s">
        <v>54</v>
      </c>
      <c r="AA39" s="76"/>
      <c r="AB39" s="77"/>
    </row>
    <row r="40" spans="1:28" ht="409.5">
      <c r="A40" s="64" t="s">
        <v>193</v>
      </c>
      <c r="B40" s="40"/>
      <c r="C40" t="s">
        <v>194</v>
      </c>
      <c r="D40" s="24" t="s">
        <v>195</v>
      </c>
      <c r="E40" s="24" t="s">
        <v>45</v>
      </c>
      <c r="F40" s="24" t="s">
        <v>196</v>
      </c>
      <c r="G40" s="24" t="s">
        <v>45</v>
      </c>
      <c r="H40" s="65" t="s">
        <v>197</v>
      </c>
      <c r="I40" s="2"/>
      <c r="J40" s="2"/>
      <c r="K40" s="2"/>
      <c r="L40" s="2"/>
      <c r="M40" s="2" t="e">
        <f>VLOOKUP(A40,Model!C$2:K$281,2,FALSE)=C40</f>
        <v>#N/A</v>
      </c>
      <c r="N40" s="2" t="e">
        <f>VLOOKUP(A40,Model!C$2:L$137,5,FALSE)=D40</f>
        <v>#N/A</v>
      </c>
      <c r="O40" s="2"/>
      <c r="P40" s="2"/>
      <c r="Q40" s="2" t="e">
        <f>VLOOKUP(C40,Table!A$2:F$105,1,FALSE)=C40</f>
        <v>#N/A</v>
      </c>
      <c r="R40" s="2"/>
      <c r="S40" s="2"/>
      <c r="T40" s="2"/>
      <c r="U40" s="2" t="e">
        <f>VLOOKUP(UPPER(SUBSTITUTE(A40," ","_")),View!A$2:J$158,1,FALSE)</f>
        <v>#N/A</v>
      </c>
      <c r="V40" s="23" t="s">
        <v>48</v>
      </c>
      <c r="W40" s="24" t="s">
        <v>49</v>
      </c>
      <c r="X40" s="23" t="s">
        <v>198</v>
      </c>
      <c r="Y40" s="4" t="s">
        <v>199</v>
      </c>
      <c r="Z40" s="5" t="s">
        <v>54</v>
      </c>
      <c r="AA40" s="25"/>
      <c r="AB40" s="26"/>
    </row>
    <row r="41" spans="1:28" ht="60">
      <c r="A41" s="64" t="s">
        <v>200</v>
      </c>
      <c r="B41" s="40"/>
      <c r="C41" t="s">
        <v>201</v>
      </c>
      <c r="D41" s="24" t="s">
        <v>195</v>
      </c>
      <c r="E41" s="24" t="s">
        <v>45</v>
      </c>
      <c r="F41" s="24" t="s">
        <v>196</v>
      </c>
      <c r="G41" s="24" t="s">
        <v>45</v>
      </c>
      <c r="H41" s="65" t="s">
        <v>202</v>
      </c>
      <c r="I41" s="2"/>
      <c r="J41" s="2"/>
      <c r="K41" s="2"/>
      <c r="L41" s="2"/>
      <c r="M41" s="2" t="e">
        <f>VLOOKUP(A41,Model!C$2:K$281,2,FALSE)=C41</f>
        <v>#N/A</v>
      </c>
      <c r="N41" s="2" t="e">
        <f>VLOOKUP(A41,Model!C$2:L$137,5,FALSE)=D41</f>
        <v>#N/A</v>
      </c>
      <c r="O41" s="2"/>
      <c r="P41" s="2"/>
      <c r="Q41" s="2" t="e">
        <f>VLOOKUP(C41,Table!A$2:F$105,1,FALSE)=C41</f>
        <v>#N/A</v>
      </c>
      <c r="R41" s="2"/>
      <c r="S41" s="2"/>
      <c r="T41" s="2"/>
      <c r="U41" s="2" t="e">
        <f>VLOOKUP(UPPER(SUBSTITUTE(A41," ","_")),View!A$2:J$158,1,FALSE)</f>
        <v>#N/A</v>
      </c>
      <c r="V41" s="23" t="s">
        <v>48</v>
      </c>
      <c r="W41" s="24" t="s">
        <v>49</v>
      </c>
      <c r="X41" s="23" t="s">
        <v>203</v>
      </c>
      <c r="Y41" s="4" t="s">
        <v>199</v>
      </c>
      <c r="Z41" s="5" t="s">
        <v>54</v>
      </c>
      <c r="AA41" s="25"/>
      <c r="AB41" s="26"/>
    </row>
    <row r="42" spans="1:28">
      <c r="A42" s="64" t="s">
        <v>204</v>
      </c>
      <c r="B42" s="40"/>
      <c r="C42" t="s">
        <v>205</v>
      </c>
      <c r="D42" s="24" t="s">
        <v>61</v>
      </c>
      <c r="E42" s="24" t="s">
        <v>54</v>
      </c>
      <c r="F42" s="24" t="s">
        <v>62</v>
      </c>
      <c r="G42" s="24" t="s">
        <v>54</v>
      </c>
      <c r="H42" s="65" t="s">
        <v>206</v>
      </c>
      <c r="I42" s="2"/>
      <c r="J42" s="2"/>
      <c r="K42" s="2"/>
      <c r="L42" s="2"/>
      <c r="M42" s="2" t="e">
        <f>VLOOKUP(A42,Model!C$2:K$281,2,FALSE)=C42</f>
        <v>#N/A</v>
      </c>
      <c r="N42" s="2" t="e">
        <f>VLOOKUP(A42,Model!C$2:L$137,5,FALSE)=D42</f>
        <v>#N/A</v>
      </c>
      <c r="O42" s="2"/>
      <c r="P42" s="2"/>
      <c r="Q42" s="2" t="e">
        <f>VLOOKUP(C42,Table!A$2:F$105,1,FALSE)=C42</f>
        <v>#N/A</v>
      </c>
      <c r="R42" s="2"/>
      <c r="S42" s="2"/>
      <c r="T42" s="2"/>
      <c r="U42" s="2" t="e">
        <f>VLOOKUP(UPPER(SUBSTITUTE(A42," ","_")),View!A$2:J$158,1,FALSE)</f>
        <v>#N/A</v>
      </c>
      <c r="V42" s="23" t="s">
        <v>48</v>
      </c>
      <c r="W42" s="24" t="s">
        <v>49</v>
      </c>
      <c r="X42" s="58" t="s">
        <v>207</v>
      </c>
      <c r="Y42" s="4" t="s">
        <v>61</v>
      </c>
      <c r="Z42" s="60" t="s">
        <v>54</v>
      </c>
      <c r="AA42" s="25"/>
      <c r="AB42" s="26"/>
    </row>
    <row r="43" spans="1:28">
      <c r="A43" s="64" t="s">
        <v>208</v>
      </c>
      <c r="B43" s="40"/>
      <c r="C43" s="4" t="s">
        <v>209</v>
      </c>
      <c r="D43" s="24" t="s">
        <v>210</v>
      </c>
      <c r="E43" s="24" t="s">
        <v>54</v>
      </c>
      <c r="F43" s="24" t="s">
        <v>211</v>
      </c>
      <c r="G43" s="24" t="s">
        <v>54</v>
      </c>
      <c r="H43" s="65" t="s">
        <v>212</v>
      </c>
      <c r="I43" s="2"/>
      <c r="J43" s="2"/>
      <c r="K43" s="2"/>
      <c r="L43" s="2"/>
      <c r="M43" s="2" t="e">
        <f>VLOOKUP(A43,Model!C$2:K$281,2,FALSE)=C43</f>
        <v>#N/A</v>
      </c>
      <c r="N43" s="2" t="e">
        <f>VLOOKUP(A43,Model!C$2:L$137,5,FALSE)=D43</f>
        <v>#N/A</v>
      </c>
      <c r="O43" s="2"/>
      <c r="P43" s="2"/>
      <c r="Q43" s="2" t="e">
        <f>VLOOKUP(C43,Table!A$2:F$105,1,FALSE)=C43</f>
        <v>#N/A</v>
      </c>
      <c r="R43" s="2"/>
      <c r="S43" s="2"/>
      <c r="T43" s="2"/>
      <c r="U43" s="2" t="e">
        <f>VLOOKUP(UPPER(SUBSTITUTE(A43," ","_")),View!A$2:J$158,1,FALSE)</f>
        <v>#N/A</v>
      </c>
      <c r="V43" s="23" t="s">
        <v>48</v>
      </c>
      <c r="W43" s="24" t="s">
        <v>49</v>
      </c>
      <c r="X43" s="23" t="s">
        <v>213</v>
      </c>
      <c r="Y43" s="24" t="s">
        <v>210</v>
      </c>
      <c r="Z43" s="5" t="s">
        <v>54</v>
      </c>
      <c r="AA43" s="25"/>
      <c r="AB43" s="26"/>
    </row>
    <row r="44" spans="1:28">
      <c r="A44" s="64" t="s">
        <v>214</v>
      </c>
      <c r="B44" s="40"/>
      <c r="C44" t="s">
        <v>215</v>
      </c>
      <c r="D44" s="24" t="s">
        <v>90</v>
      </c>
      <c r="E44" s="24" t="s">
        <v>54</v>
      </c>
      <c r="F44" s="24" t="s">
        <v>91</v>
      </c>
      <c r="G44" s="24" t="s">
        <v>54</v>
      </c>
      <c r="H44" s="65" t="s">
        <v>216</v>
      </c>
      <c r="I44" s="2"/>
      <c r="J44" s="2"/>
      <c r="K44" s="2"/>
      <c r="L44" s="2"/>
      <c r="M44" s="2" t="e">
        <f>VLOOKUP(A44,Model!C$2:K$281,2,FALSE)=C44</f>
        <v>#N/A</v>
      </c>
      <c r="N44" s="2" t="e">
        <f>VLOOKUP(A44,Model!C$2:L$137,5,FALSE)=D44</f>
        <v>#N/A</v>
      </c>
      <c r="O44" s="2"/>
      <c r="P44" s="2"/>
      <c r="Q44" s="2" t="e">
        <f>VLOOKUP(C44,Table!A$2:F$105,1,FALSE)=C44</f>
        <v>#N/A</v>
      </c>
      <c r="R44" s="2"/>
      <c r="S44" s="2"/>
      <c r="T44" s="2"/>
      <c r="U44" s="2" t="e">
        <f>VLOOKUP(UPPER(SUBSTITUTE(A44," ","_")),View!A$2:J$158,1,FALSE)</f>
        <v>#N/A</v>
      </c>
      <c r="V44" s="23" t="s">
        <v>48</v>
      </c>
      <c r="W44" s="24" t="s">
        <v>49</v>
      </c>
      <c r="X44" s="23" t="s">
        <v>217</v>
      </c>
      <c r="Y44" s="4" t="s">
        <v>94</v>
      </c>
      <c r="Z44" s="5" t="s">
        <v>54</v>
      </c>
      <c r="AA44" s="25"/>
      <c r="AB44" s="26"/>
    </row>
    <row r="45" spans="1:28" ht="30">
      <c r="A45" s="64" t="s">
        <v>218</v>
      </c>
      <c r="B45" s="40"/>
      <c r="C45" t="s">
        <v>219</v>
      </c>
      <c r="D45" s="24" t="s">
        <v>220</v>
      </c>
      <c r="E45" s="24" t="s">
        <v>54</v>
      </c>
      <c r="F45" s="24" t="s">
        <v>221</v>
      </c>
      <c r="G45" s="24" t="s">
        <v>54</v>
      </c>
      <c r="H45" s="65" t="s">
        <v>222</v>
      </c>
      <c r="I45" s="2"/>
      <c r="J45" s="2"/>
      <c r="K45" s="2"/>
      <c r="L45" s="2"/>
      <c r="M45" s="2" t="e">
        <f>VLOOKUP(A45,Model!C$2:K$281,2,FALSE)=C45</f>
        <v>#N/A</v>
      </c>
      <c r="N45" s="2" t="e">
        <f>VLOOKUP(A45,Model!C$2:L$137,5,FALSE)=D45</f>
        <v>#N/A</v>
      </c>
      <c r="O45" s="2"/>
      <c r="P45" s="2"/>
      <c r="Q45" s="2" t="e">
        <f>VLOOKUP(C45,Table!A$2:F$105,1,FALSE)=C45</f>
        <v>#N/A</v>
      </c>
      <c r="R45" s="2"/>
      <c r="S45" s="2"/>
      <c r="T45" s="2"/>
      <c r="U45" s="2" t="e">
        <f>VLOOKUP(UPPER(SUBSTITUTE(A45," ","_")),View!A$2:J$158,1,FALSE)</f>
        <v>#N/A</v>
      </c>
      <c r="V45" s="23" t="s">
        <v>48</v>
      </c>
      <c r="W45" s="24" t="s">
        <v>49</v>
      </c>
      <c r="X45" s="23" t="s">
        <v>223</v>
      </c>
      <c r="Y45" s="4" t="s">
        <v>224</v>
      </c>
      <c r="Z45" s="5" t="s">
        <v>54</v>
      </c>
      <c r="AA45" s="25"/>
      <c r="AB45" s="26"/>
    </row>
    <row r="46" spans="1:28">
      <c r="A46" s="64" t="s">
        <v>225</v>
      </c>
      <c r="B46" s="40"/>
      <c r="C46" t="s">
        <v>226</v>
      </c>
      <c r="D46" s="24" t="s">
        <v>105</v>
      </c>
      <c r="E46" s="24" t="s">
        <v>54</v>
      </c>
      <c r="F46" s="24" t="s">
        <v>106</v>
      </c>
      <c r="G46" s="24" t="s">
        <v>54</v>
      </c>
      <c r="H46" s="65" t="s">
        <v>227</v>
      </c>
      <c r="I46" s="2"/>
      <c r="J46" s="2"/>
      <c r="K46" s="2"/>
      <c r="L46" s="2"/>
      <c r="M46" s="2" t="e">
        <f>VLOOKUP(A46,Model!C$2:K$281,2,FALSE)=C46</f>
        <v>#N/A</v>
      </c>
      <c r="N46" s="2" t="e">
        <f>VLOOKUP(A46,Model!C$2:L$137,5,FALSE)=D46</f>
        <v>#N/A</v>
      </c>
      <c r="O46" s="2"/>
      <c r="P46" s="2"/>
      <c r="Q46" s="2" t="e">
        <f>VLOOKUP(C46,Table!A$2:F$105,1,FALSE)=C46</f>
        <v>#N/A</v>
      </c>
      <c r="R46" s="2"/>
      <c r="S46" s="2"/>
      <c r="T46" s="2"/>
      <c r="U46" s="2" t="e">
        <f>VLOOKUP(UPPER(SUBSTITUTE(A46," ","_")),View!A$2:J$158,1,FALSE)</f>
        <v>#N/A</v>
      </c>
      <c r="V46" s="23" t="s">
        <v>48</v>
      </c>
      <c r="W46" s="24" t="s">
        <v>49</v>
      </c>
      <c r="X46" s="59" t="s">
        <v>228</v>
      </c>
      <c r="Y46" s="4" t="s">
        <v>105</v>
      </c>
      <c r="Z46" s="5" t="s">
        <v>54</v>
      </c>
      <c r="AA46" s="76"/>
      <c r="AB46" s="77"/>
    </row>
    <row r="47" spans="1:28" ht="30">
      <c r="A47" s="64" t="s">
        <v>229</v>
      </c>
      <c r="B47" s="40"/>
      <c r="C47" t="s">
        <v>230</v>
      </c>
      <c r="D47" s="24" t="s">
        <v>105</v>
      </c>
      <c r="E47" s="24" t="s">
        <v>54</v>
      </c>
      <c r="F47" s="24" t="s">
        <v>106</v>
      </c>
      <c r="G47" s="24" t="s">
        <v>54</v>
      </c>
      <c r="H47" s="65" t="s">
        <v>231</v>
      </c>
      <c r="I47" s="2"/>
      <c r="J47" s="2"/>
      <c r="K47" s="2"/>
      <c r="L47" s="2"/>
      <c r="M47" s="2" t="e">
        <f>VLOOKUP(A47,Model!C$2:K$281,2,FALSE)=C47</f>
        <v>#N/A</v>
      </c>
      <c r="N47" s="2" t="e">
        <f>VLOOKUP(A47,Model!C$2:L$137,5,FALSE)=D47</f>
        <v>#N/A</v>
      </c>
      <c r="O47" s="2"/>
      <c r="P47" s="2"/>
      <c r="Q47" s="2" t="e">
        <f>VLOOKUP(C47,Table!A$2:F$105,1,FALSE)=C47</f>
        <v>#N/A</v>
      </c>
      <c r="R47" s="2"/>
      <c r="S47" s="2"/>
      <c r="T47" s="2"/>
      <c r="U47" s="2" t="e">
        <f>VLOOKUP(UPPER(SUBSTITUTE(A47," ","_")),View!A$2:J$158,1,FALSE)</f>
        <v>#N/A</v>
      </c>
      <c r="V47" s="23" t="s">
        <v>48</v>
      </c>
      <c r="W47" s="24" t="s">
        <v>49</v>
      </c>
      <c r="X47" s="23" t="s">
        <v>232</v>
      </c>
      <c r="Y47" s="4" t="s">
        <v>105</v>
      </c>
      <c r="Z47" s="5" t="s">
        <v>54</v>
      </c>
      <c r="AA47" s="25"/>
      <c r="AB47" s="26"/>
    </row>
    <row r="48" spans="1:28" ht="30">
      <c r="A48" s="64" t="s">
        <v>233</v>
      </c>
      <c r="B48" s="40"/>
      <c r="C48" t="s">
        <v>234</v>
      </c>
      <c r="D48" s="24" t="s">
        <v>195</v>
      </c>
      <c r="E48" s="24" t="s">
        <v>54</v>
      </c>
      <c r="F48" s="24" t="s">
        <v>196</v>
      </c>
      <c r="G48" s="24" t="s">
        <v>54</v>
      </c>
      <c r="H48" s="65" t="s">
        <v>235</v>
      </c>
      <c r="I48" s="2"/>
      <c r="J48" s="2"/>
      <c r="K48" s="2"/>
      <c r="L48" s="2"/>
      <c r="M48" s="2" t="e">
        <f>VLOOKUP(A48,Model!C$2:K$281,2,FALSE)=C48</f>
        <v>#N/A</v>
      </c>
      <c r="N48" s="2" t="e">
        <f>VLOOKUP(A48,Model!C$2:L$137,5,FALSE)=D48</f>
        <v>#N/A</v>
      </c>
      <c r="O48" s="2"/>
      <c r="P48" s="2"/>
      <c r="Q48" s="2" t="e">
        <f>VLOOKUP(C48,Table!A$2:F$105,1,FALSE)=C48</f>
        <v>#N/A</v>
      </c>
      <c r="R48" s="2"/>
      <c r="S48" s="2"/>
      <c r="T48" s="2"/>
      <c r="U48" s="2" t="e">
        <f>VLOOKUP(UPPER(SUBSTITUTE(A48," ","_")),View!A$2:J$158,1,FALSE)</f>
        <v>#N/A</v>
      </c>
      <c r="V48" s="23" t="s">
        <v>48</v>
      </c>
      <c r="W48" s="24" t="s">
        <v>49</v>
      </c>
      <c r="X48" s="23" t="s">
        <v>236</v>
      </c>
      <c r="Y48" s="4" t="s">
        <v>199</v>
      </c>
      <c r="Z48" s="5" t="s">
        <v>54</v>
      </c>
      <c r="AA48" s="25"/>
      <c r="AB48" s="26"/>
    </row>
    <row r="49" spans="1:28" ht="30">
      <c r="A49" s="64" t="s">
        <v>237</v>
      </c>
      <c r="B49" s="40"/>
      <c r="C49" t="s">
        <v>238</v>
      </c>
      <c r="D49" s="24" t="s">
        <v>61</v>
      </c>
      <c r="E49" s="24" t="s">
        <v>45</v>
      </c>
      <c r="F49" s="24" t="s">
        <v>62</v>
      </c>
      <c r="G49" s="24" t="s">
        <v>45</v>
      </c>
      <c r="H49" s="65" t="s">
        <v>239</v>
      </c>
      <c r="I49" s="2"/>
      <c r="J49" s="2"/>
      <c r="K49" s="2"/>
      <c r="L49" s="2"/>
      <c r="M49" s="2" t="e">
        <f>VLOOKUP(A49,Model!C$2:K$281,2,FALSE)=C49</f>
        <v>#N/A</v>
      </c>
      <c r="N49" s="2" t="e">
        <f>VLOOKUP(A49,Model!C$2:L$137,5,FALSE)=D49</f>
        <v>#N/A</v>
      </c>
      <c r="O49" s="2"/>
      <c r="P49" s="2"/>
      <c r="Q49" s="2" t="e">
        <f>VLOOKUP(C49,Table!A$2:F$105,1,FALSE)=C49</f>
        <v>#N/A</v>
      </c>
      <c r="R49" s="2"/>
      <c r="S49" s="2"/>
      <c r="T49" s="2"/>
      <c r="U49" s="2" t="e">
        <f>VLOOKUP(UPPER(SUBSTITUTE(A49," ","_")),View!A$2:J$158,1,FALSE)</f>
        <v>#N/A</v>
      </c>
      <c r="V49" s="23" t="s">
        <v>48</v>
      </c>
      <c r="W49" s="24" t="s">
        <v>49</v>
      </c>
      <c r="X49" s="23" t="s">
        <v>240</v>
      </c>
      <c r="Y49" s="4" t="s">
        <v>61</v>
      </c>
      <c r="Z49" s="5" t="s">
        <v>54</v>
      </c>
      <c r="AA49" s="25"/>
      <c r="AB49" s="26"/>
    </row>
    <row r="50" spans="1:28" ht="30">
      <c r="A50" s="64" t="s">
        <v>241</v>
      </c>
      <c r="B50" s="40"/>
      <c r="C50" t="s">
        <v>242</v>
      </c>
      <c r="D50" s="24" t="s">
        <v>61</v>
      </c>
      <c r="E50" s="24" t="s">
        <v>45</v>
      </c>
      <c r="F50" s="24" t="s">
        <v>62</v>
      </c>
      <c r="G50" s="24" t="s">
        <v>45</v>
      </c>
      <c r="H50" s="65" t="s">
        <v>243</v>
      </c>
      <c r="I50" s="2"/>
      <c r="J50" s="2"/>
      <c r="K50" s="2"/>
      <c r="L50" s="2"/>
      <c r="M50" s="56" t="e">
        <f>VLOOKUP(A50,Model!C$2:K$281,2,FALSE)=C50</f>
        <v>#N/A</v>
      </c>
      <c r="N50" s="2" t="e">
        <f>VLOOKUP(A50,Model!C$2:L$137,5,FALSE)=D50</f>
        <v>#N/A</v>
      </c>
      <c r="O50" s="2"/>
      <c r="P50" s="2"/>
      <c r="Q50" s="2" t="e">
        <f>VLOOKUP(C50,Table!A$2:F$105,1,FALSE)=C50</f>
        <v>#N/A</v>
      </c>
      <c r="R50" s="2"/>
      <c r="S50" s="2"/>
      <c r="T50" s="2"/>
      <c r="U50" s="2" t="e">
        <f>VLOOKUP(UPPER(SUBSTITUTE(A50," ","_")),View!A$2:J$158,1,FALSE)</f>
        <v>#N/A</v>
      </c>
      <c r="V50" s="23" t="s">
        <v>48</v>
      </c>
      <c r="W50" s="24" t="s">
        <v>49</v>
      </c>
      <c r="X50" s="23" t="s">
        <v>244</v>
      </c>
      <c r="Y50" s="4" t="s">
        <v>61</v>
      </c>
      <c r="Z50" s="5" t="s">
        <v>54</v>
      </c>
      <c r="AA50" s="25"/>
      <c r="AB50" s="26"/>
    </row>
    <row r="51" spans="1:28" ht="45">
      <c r="A51" s="64" t="s">
        <v>245</v>
      </c>
      <c r="B51" s="48"/>
      <c r="C51" t="s">
        <v>246</v>
      </c>
      <c r="D51" s="29" t="s">
        <v>61</v>
      </c>
      <c r="E51" s="29" t="s">
        <v>45</v>
      </c>
      <c r="F51" s="24" t="s">
        <v>62</v>
      </c>
      <c r="G51" s="29" t="s">
        <v>45</v>
      </c>
      <c r="H51" s="65" t="s">
        <v>247</v>
      </c>
      <c r="I51" s="30"/>
      <c r="J51" s="30"/>
      <c r="K51" s="30"/>
      <c r="L51" s="30"/>
      <c r="M51" s="2" t="e">
        <f>VLOOKUP(A51,Model!C$2:K$281,2,FALSE)=C51</f>
        <v>#N/A</v>
      </c>
      <c r="N51" s="2" t="e">
        <f>VLOOKUP(A51,Model!C$2:L$137,5,FALSE)=D51</f>
        <v>#N/A</v>
      </c>
      <c r="O51" s="30"/>
      <c r="P51" s="30"/>
      <c r="Q51" s="2" t="e">
        <f>VLOOKUP(C51,Table!A$2:F$105,1,FALSE)=C51</f>
        <v>#N/A</v>
      </c>
      <c r="R51" s="30"/>
      <c r="S51" s="30"/>
      <c r="T51" s="30"/>
      <c r="U51" s="2" t="e">
        <f>VLOOKUP(UPPER(SUBSTITUTE(A51," ","_")),View!A$2:J$158,1,FALSE)</f>
        <v>#N/A</v>
      </c>
      <c r="V51" s="23" t="s">
        <v>48</v>
      </c>
      <c r="W51" s="24" t="s">
        <v>49</v>
      </c>
      <c r="X51" s="31" t="s">
        <v>248</v>
      </c>
      <c r="Y51" s="32" t="s">
        <v>61</v>
      </c>
      <c r="Z51" s="33" t="s">
        <v>54</v>
      </c>
      <c r="AA51" s="34"/>
      <c r="AB51" s="35"/>
    </row>
    <row r="52" spans="1:28" s="4" customFormat="1" ht="30">
      <c r="A52" s="64" t="s">
        <v>249</v>
      </c>
      <c r="B52" s="40"/>
      <c r="C52" t="s">
        <v>250</v>
      </c>
      <c r="D52" s="24" t="s">
        <v>61</v>
      </c>
      <c r="E52" s="24" t="s">
        <v>45</v>
      </c>
      <c r="F52" s="24" t="s">
        <v>62</v>
      </c>
      <c r="G52" s="24" t="s">
        <v>45</v>
      </c>
      <c r="H52" s="65" t="s">
        <v>251</v>
      </c>
      <c r="M52" s="56" t="e">
        <f>VLOOKUP(A52,Model!C$2:K$281,2,FALSE)=C52</f>
        <v>#N/A</v>
      </c>
      <c r="N52" s="56" t="e">
        <f>VLOOKUP(A52,Model!C$2:L$137,5,FALSE)=D52</f>
        <v>#N/A</v>
      </c>
      <c r="Q52" s="2" t="e">
        <f>VLOOKUP(C52,Table!A$2:F$105,1,FALSE)=C52</f>
        <v>#N/A</v>
      </c>
      <c r="U52" s="2" t="e">
        <f>VLOOKUP(UPPER(SUBSTITUTE(A52," ","_")),View!A$2:J$158,1,FALSE)</f>
        <v>#N/A</v>
      </c>
      <c r="V52" s="23" t="s">
        <v>48</v>
      </c>
      <c r="W52" s="24" t="s">
        <v>49</v>
      </c>
      <c r="X52" s="23" t="s">
        <v>252</v>
      </c>
      <c r="Y52" s="4" t="s">
        <v>61</v>
      </c>
      <c r="Z52" s="4" t="s">
        <v>54</v>
      </c>
      <c r="AA52" s="25"/>
      <c r="AB52" s="26"/>
    </row>
    <row r="53" spans="1:28" s="4" customFormat="1" ht="30">
      <c r="A53" s="64" t="s">
        <v>253</v>
      </c>
      <c r="B53" s="40"/>
      <c r="C53" t="s">
        <v>254</v>
      </c>
      <c r="D53" s="24" t="s">
        <v>61</v>
      </c>
      <c r="E53" s="24" t="s">
        <v>54</v>
      </c>
      <c r="F53" s="24" t="s">
        <v>62</v>
      </c>
      <c r="G53" s="24" t="s">
        <v>54</v>
      </c>
      <c r="H53" s="65" t="s">
        <v>255</v>
      </c>
      <c r="M53" s="2" t="e">
        <f>VLOOKUP(A53,Model!C$2:K$281,2,FALSE)=C53</f>
        <v>#N/A</v>
      </c>
      <c r="N53" s="2" t="e">
        <f>VLOOKUP(A53,Model!C$2:L$137,5,FALSE)=D53</f>
        <v>#N/A</v>
      </c>
      <c r="Q53" s="2" t="e">
        <f>VLOOKUP(C53,Table!A$2:F$105,1,FALSE)=C53</f>
        <v>#N/A</v>
      </c>
      <c r="U53" s="2" t="e">
        <f>VLOOKUP(UPPER(SUBSTITUTE(A53," ","_")),View!A$2:J$158,1,FALSE)</f>
        <v>#N/A</v>
      </c>
      <c r="V53" s="23" t="s">
        <v>48</v>
      </c>
      <c r="W53" s="24" t="s">
        <v>49</v>
      </c>
      <c r="X53" s="23" t="s">
        <v>256</v>
      </c>
      <c r="Y53" s="4" t="s">
        <v>61</v>
      </c>
      <c r="Z53" s="4" t="s">
        <v>54</v>
      </c>
      <c r="AA53" s="25"/>
      <c r="AB53" s="26"/>
    </row>
    <row r="54" spans="1:28" s="4" customFormat="1">
      <c r="A54" s="64" t="s">
        <v>257</v>
      </c>
      <c r="B54" s="40"/>
      <c r="C54" t="s">
        <v>258</v>
      </c>
      <c r="D54" s="24" t="s">
        <v>61</v>
      </c>
      <c r="E54" s="24" t="s">
        <v>54</v>
      </c>
      <c r="F54" s="24" t="s">
        <v>62</v>
      </c>
      <c r="G54" s="24" t="s">
        <v>54</v>
      </c>
      <c r="H54" s="65" t="s">
        <v>259</v>
      </c>
      <c r="M54" s="2" t="e">
        <f>VLOOKUP(A54,Model!C$2:K$281,2,FALSE)=C54</f>
        <v>#N/A</v>
      </c>
      <c r="N54" s="2" t="e">
        <f>VLOOKUP(A54,Model!C$2:L$137,5,FALSE)=D54</f>
        <v>#N/A</v>
      </c>
      <c r="Q54" s="2" t="e">
        <f>VLOOKUP(C54,Table!A$2:F$105,1,FALSE)=C54</f>
        <v>#N/A</v>
      </c>
      <c r="U54" s="2" t="e">
        <f>VLOOKUP(UPPER(SUBSTITUTE(A54," ","_")),View!A$2:J$158,1,FALSE)</f>
        <v>#N/A</v>
      </c>
      <c r="V54" s="23" t="s">
        <v>48</v>
      </c>
      <c r="W54" s="24" t="s">
        <v>49</v>
      </c>
      <c r="X54" s="23" t="s">
        <v>260</v>
      </c>
      <c r="Y54" s="4" t="s">
        <v>61</v>
      </c>
      <c r="Z54" s="4" t="s">
        <v>54</v>
      </c>
      <c r="AA54" s="25"/>
      <c r="AB54" s="26"/>
    </row>
    <row r="55" spans="1:28" s="4" customFormat="1" ht="30">
      <c r="A55" s="64" t="s">
        <v>261</v>
      </c>
      <c r="B55" s="40"/>
      <c r="C55" t="s">
        <v>262</v>
      </c>
      <c r="D55" s="24" t="s">
        <v>195</v>
      </c>
      <c r="E55" s="24" t="s">
        <v>54</v>
      </c>
      <c r="F55" s="24" t="s">
        <v>196</v>
      </c>
      <c r="G55" s="24" t="s">
        <v>54</v>
      </c>
      <c r="H55" s="65" t="s">
        <v>263</v>
      </c>
      <c r="M55" s="2" t="e">
        <f>VLOOKUP(A55,Model!C$2:K$281,2,FALSE)=C55</f>
        <v>#N/A</v>
      </c>
      <c r="N55" s="2" t="e">
        <f>VLOOKUP(A55,Model!C$2:L$137,5,FALSE)=D55</f>
        <v>#N/A</v>
      </c>
      <c r="Q55" s="2" t="e">
        <f>VLOOKUP(C55,Table!A$2:F$105,1,FALSE)=C55</f>
        <v>#N/A</v>
      </c>
      <c r="U55" s="2" t="e">
        <f>VLOOKUP(UPPER(SUBSTITUTE(A55," ","_")),View!A$2:J$158,1,FALSE)</f>
        <v>#N/A</v>
      </c>
      <c r="V55" s="23" t="s">
        <v>48</v>
      </c>
      <c r="W55" s="24" t="s">
        <v>49</v>
      </c>
      <c r="X55" s="23" t="s">
        <v>264</v>
      </c>
      <c r="Y55" s="4" t="s">
        <v>199</v>
      </c>
      <c r="Z55" s="4" t="s">
        <v>54</v>
      </c>
      <c r="AA55" s="25"/>
      <c r="AB55" s="26"/>
    </row>
    <row r="56" spans="1:28" s="4" customFormat="1" ht="30">
      <c r="A56" s="64" t="s">
        <v>265</v>
      </c>
      <c r="B56" s="40"/>
      <c r="C56" t="s">
        <v>266</v>
      </c>
      <c r="D56" s="24" t="s">
        <v>267</v>
      </c>
      <c r="E56" s="24" t="s">
        <v>54</v>
      </c>
      <c r="F56" s="24" t="s">
        <v>268</v>
      </c>
      <c r="G56" s="24" t="s">
        <v>54</v>
      </c>
      <c r="H56" s="65" t="s">
        <v>269</v>
      </c>
      <c r="M56" s="2" t="e">
        <f>VLOOKUP(A56,Model!C$2:K$281,2,FALSE)=C56</f>
        <v>#N/A</v>
      </c>
      <c r="N56" s="2" t="e">
        <f>VLOOKUP(A56,Model!C$2:L$137,5,FALSE)=D56</f>
        <v>#N/A</v>
      </c>
      <c r="Q56" s="2" t="e">
        <f>VLOOKUP(C56,Table!A$2:F$105,1,FALSE)=C56</f>
        <v>#N/A</v>
      </c>
      <c r="U56" s="2" t="e">
        <f>VLOOKUP(UPPER(SUBSTITUTE(A56," ","_")),View!A$2:J$158,1,FALSE)</f>
        <v>#N/A</v>
      </c>
      <c r="V56" s="23" t="s">
        <v>48</v>
      </c>
      <c r="W56" s="24" t="s">
        <v>49</v>
      </c>
      <c r="X56" s="23" t="s">
        <v>270</v>
      </c>
      <c r="Y56" s="4" t="s">
        <v>267</v>
      </c>
      <c r="Z56" s="4" t="s">
        <v>54</v>
      </c>
      <c r="AA56" s="25"/>
      <c r="AB56" s="26"/>
    </row>
    <row r="57" spans="1:28" s="4" customFormat="1">
      <c r="A57" s="64" t="s">
        <v>271</v>
      </c>
      <c r="B57" s="40"/>
      <c r="C57" t="s">
        <v>272</v>
      </c>
      <c r="D57" s="24" t="s">
        <v>195</v>
      </c>
      <c r="E57" s="24" t="s">
        <v>54</v>
      </c>
      <c r="F57" s="24" t="s">
        <v>196</v>
      </c>
      <c r="G57" s="24" t="s">
        <v>54</v>
      </c>
      <c r="H57" s="65" t="s">
        <v>273</v>
      </c>
      <c r="M57" s="2" t="e">
        <f>VLOOKUP(A57,Model!C$2:K$281,2,FALSE)=C57</f>
        <v>#N/A</v>
      </c>
      <c r="N57" s="2" t="e">
        <f>VLOOKUP(A57,Model!C$2:L$137,5,FALSE)=D57</f>
        <v>#N/A</v>
      </c>
      <c r="Q57" s="2" t="e">
        <f>VLOOKUP(C57,Table!A$2:F$105,1,FALSE)=C57</f>
        <v>#N/A</v>
      </c>
      <c r="U57" s="2" t="e">
        <f>VLOOKUP(UPPER(SUBSTITUTE(A57," ","_")),View!A$2:J$158,1,FALSE)</f>
        <v>#N/A</v>
      </c>
      <c r="V57" s="23" t="s">
        <v>48</v>
      </c>
      <c r="W57" s="24" t="s">
        <v>49</v>
      </c>
      <c r="X57" s="23" t="s">
        <v>274</v>
      </c>
      <c r="Y57" s="4" t="s">
        <v>199</v>
      </c>
      <c r="Z57" s="4" t="s">
        <v>54</v>
      </c>
      <c r="AA57" s="1"/>
      <c r="AB57" s="1"/>
    </row>
    <row r="58" spans="1:28" s="4" customFormat="1" ht="90">
      <c r="A58" s="64" t="s">
        <v>275</v>
      </c>
      <c r="B58" s="40"/>
      <c r="C58" t="s">
        <v>276</v>
      </c>
      <c r="D58" s="24" t="s">
        <v>277</v>
      </c>
      <c r="E58" s="24" t="s">
        <v>54</v>
      </c>
      <c r="F58" s="24" t="s">
        <v>278</v>
      </c>
      <c r="G58" s="24" t="s">
        <v>54</v>
      </c>
      <c r="H58" s="65" t="s">
        <v>279</v>
      </c>
      <c r="M58" s="2" t="e">
        <f>VLOOKUP(A58,Model!C$2:K$281,2,FALSE)=C58</f>
        <v>#N/A</v>
      </c>
      <c r="N58" s="2" t="e">
        <f>VLOOKUP(A58,Model!C$2:L$137,5,FALSE)=D58</f>
        <v>#N/A</v>
      </c>
      <c r="Q58" s="2" t="e">
        <f>VLOOKUP(C58,Table!A$2:F$105,1,FALSE)=C58</f>
        <v>#N/A</v>
      </c>
      <c r="U58" s="2" t="e">
        <f>VLOOKUP(UPPER(SUBSTITUTE(A58," ","_")),View!A$2:J$158,1,FALSE)</f>
        <v>#N/A</v>
      </c>
      <c r="V58" s="23" t="s">
        <v>48</v>
      </c>
      <c r="W58" s="24" t="s">
        <v>49</v>
      </c>
      <c r="X58" s="23" t="s">
        <v>280</v>
      </c>
      <c r="Y58" s="4" t="s">
        <v>277</v>
      </c>
      <c r="Z58" s="4" t="s">
        <v>54</v>
      </c>
      <c r="AA58" s="80"/>
      <c r="AB58" s="80"/>
    </row>
    <row r="59" spans="1:28" s="4" customFormat="1">
      <c r="A59" s="64" t="s">
        <v>281</v>
      </c>
      <c r="B59" s="40"/>
      <c r="C59" t="s">
        <v>282</v>
      </c>
      <c r="D59" s="24" t="s">
        <v>195</v>
      </c>
      <c r="E59" s="24" t="s">
        <v>54</v>
      </c>
      <c r="F59" s="24" t="s">
        <v>196</v>
      </c>
      <c r="G59" s="24" t="s">
        <v>54</v>
      </c>
      <c r="H59" s="65" t="s">
        <v>283</v>
      </c>
      <c r="M59" s="2" t="e">
        <f>VLOOKUP(A59,Model!C$2:K$281,2,FALSE)=C59</f>
        <v>#N/A</v>
      </c>
      <c r="N59" s="2" t="e">
        <f>VLOOKUP(A59,Model!C$2:L$137,5,FALSE)=D59</f>
        <v>#N/A</v>
      </c>
      <c r="Q59" s="2" t="e">
        <f>VLOOKUP(C59,Table!A$2:F$105,1,FALSE)=C59</f>
        <v>#N/A</v>
      </c>
      <c r="U59" s="2" t="e">
        <f>VLOOKUP(UPPER(SUBSTITUTE(A59," ","_")),View!A$2:J$158,1,FALSE)</f>
        <v>#N/A</v>
      </c>
      <c r="V59" s="23" t="s">
        <v>48</v>
      </c>
      <c r="W59" s="24" t="s">
        <v>49</v>
      </c>
      <c r="X59" s="23" t="s">
        <v>284</v>
      </c>
      <c r="Y59" s="4" t="s">
        <v>199</v>
      </c>
      <c r="Z59" s="4" t="s">
        <v>54</v>
      </c>
      <c r="AA59" s="25"/>
      <c r="AB59" s="26"/>
    </row>
    <row r="60" spans="1:28" s="4" customFormat="1" ht="30">
      <c r="A60" s="64" t="s">
        <v>285</v>
      </c>
      <c r="B60" s="40"/>
      <c r="C60" t="s">
        <v>286</v>
      </c>
      <c r="D60" s="24" t="s">
        <v>195</v>
      </c>
      <c r="E60" s="24" t="s">
        <v>54</v>
      </c>
      <c r="F60" s="24" t="s">
        <v>196</v>
      </c>
      <c r="G60" s="24" t="s">
        <v>54</v>
      </c>
      <c r="H60" s="65" t="s">
        <v>287</v>
      </c>
      <c r="M60" s="2" t="e">
        <f>VLOOKUP(A60,Model!C$2:K$281,2,FALSE)=C60</f>
        <v>#N/A</v>
      </c>
      <c r="N60" s="2" t="e">
        <f>VLOOKUP(A60,Model!C$2:L$137,5,FALSE)=D60</f>
        <v>#N/A</v>
      </c>
      <c r="Q60" s="2" t="e">
        <f>VLOOKUP(C60,Table!A$2:F$105,1,FALSE)=C60</f>
        <v>#N/A</v>
      </c>
      <c r="U60" s="2" t="e">
        <f>VLOOKUP(UPPER(SUBSTITUTE(A60," ","_")),View!A$2:J$158,1,FALSE)</f>
        <v>#N/A</v>
      </c>
      <c r="V60" s="23" t="s">
        <v>48</v>
      </c>
      <c r="W60" s="24" t="s">
        <v>49</v>
      </c>
      <c r="X60" s="23" t="s">
        <v>288</v>
      </c>
      <c r="Y60" s="4" t="s">
        <v>199</v>
      </c>
      <c r="Z60" s="4" t="s">
        <v>54</v>
      </c>
      <c r="AA60" s="25"/>
      <c r="AB60" s="26"/>
    </row>
    <row r="61" spans="1:28" s="4" customFormat="1">
      <c r="A61" s="64" t="s">
        <v>289</v>
      </c>
      <c r="B61" s="40"/>
      <c r="C61" t="s">
        <v>290</v>
      </c>
      <c r="D61" s="24" t="s">
        <v>73</v>
      </c>
      <c r="E61" s="24" t="s">
        <v>54</v>
      </c>
      <c r="F61" s="24" t="s">
        <v>74</v>
      </c>
      <c r="G61" s="24" t="s">
        <v>54</v>
      </c>
      <c r="H61" s="65" t="s">
        <v>291</v>
      </c>
      <c r="M61" s="2" t="e">
        <f>VLOOKUP(A61,Model!C$2:K$281,2,FALSE)=C61</f>
        <v>#N/A</v>
      </c>
      <c r="N61" s="2" t="e">
        <f>VLOOKUP(A61,Model!C$2:L$137,5,FALSE)=D61</f>
        <v>#N/A</v>
      </c>
      <c r="Q61" s="2" t="e">
        <f>VLOOKUP(C61,Table!A$2:F$105,1,FALSE)=C61</f>
        <v>#N/A</v>
      </c>
      <c r="U61" s="2" t="e">
        <f>VLOOKUP(UPPER(SUBSTITUTE(A61," ","_")),View!A$2:J$158,1,FALSE)</f>
        <v>#N/A</v>
      </c>
      <c r="V61" s="23" t="s">
        <v>48</v>
      </c>
      <c r="W61" s="24" t="s">
        <v>49</v>
      </c>
      <c r="X61" s="4" t="s">
        <v>292</v>
      </c>
      <c r="Y61" s="4" t="s">
        <v>77</v>
      </c>
      <c r="Z61" s="4" t="s">
        <v>54</v>
      </c>
      <c r="AA61" s="80"/>
      <c r="AB61" s="80"/>
    </row>
    <row r="62" spans="1:28" s="4" customFormat="1">
      <c r="A62" s="64" t="s">
        <v>293</v>
      </c>
      <c r="B62" s="40"/>
      <c r="C62" t="s">
        <v>294</v>
      </c>
      <c r="D62" s="24" t="s">
        <v>105</v>
      </c>
      <c r="E62" s="24" t="s">
        <v>54</v>
      </c>
      <c r="F62" s="24" t="s">
        <v>106</v>
      </c>
      <c r="G62" s="24" t="s">
        <v>54</v>
      </c>
      <c r="H62" s="65" t="s">
        <v>295</v>
      </c>
      <c r="M62" s="2" t="e">
        <f>VLOOKUP(A62,Model!C$2:K$281,2,FALSE)=C62</f>
        <v>#N/A</v>
      </c>
      <c r="N62" s="2" t="e">
        <f>VLOOKUP(A62,Model!C$2:L$137,5,FALSE)=D62</f>
        <v>#N/A</v>
      </c>
      <c r="Q62" s="2" t="e">
        <f>VLOOKUP(C62,Table!A$2:F$105,1,FALSE)=C62</f>
        <v>#N/A</v>
      </c>
      <c r="U62" s="2" t="e">
        <f>VLOOKUP(UPPER(SUBSTITUTE(A62," ","_")),View!A$2:J$158,1,FALSE)</f>
        <v>#N/A</v>
      </c>
      <c r="V62" s="23" t="s">
        <v>48</v>
      </c>
      <c r="W62" s="24" t="s">
        <v>49</v>
      </c>
      <c r="X62" s="23" t="s">
        <v>296</v>
      </c>
      <c r="Y62" s="4" t="s">
        <v>105</v>
      </c>
      <c r="Z62" s="4" t="s">
        <v>54</v>
      </c>
      <c r="AA62" s="80"/>
      <c r="AB62" s="80"/>
    </row>
    <row r="63" spans="1:28" s="4" customFormat="1" ht="30">
      <c r="A63" s="64" t="s">
        <v>297</v>
      </c>
      <c r="B63" s="40"/>
      <c r="C63" t="s">
        <v>298</v>
      </c>
      <c r="D63" s="24" t="s">
        <v>67</v>
      </c>
      <c r="E63" s="24" t="s">
        <v>54</v>
      </c>
      <c r="F63" s="24" t="s">
        <v>68</v>
      </c>
      <c r="G63" s="24" t="s">
        <v>54</v>
      </c>
      <c r="H63" s="65" t="s">
        <v>299</v>
      </c>
      <c r="M63" s="2" t="e">
        <f>VLOOKUP(A63,Model!C$2:K$281,2,FALSE)=C63</f>
        <v>#N/A</v>
      </c>
      <c r="N63" s="2" t="e">
        <f>VLOOKUP(A63,Model!C$2:L$137,5,FALSE)=D63</f>
        <v>#N/A</v>
      </c>
      <c r="Q63" s="2" t="e">
        <f>VLOOKUP(C63,Table!A$2:F$105,1,FALSE)=C63</f>
        <v>#N/A</v>
      </c>
      <c r="U63" s="2" t="e">
        <f>VLOOKUP(UPPER(SUBSTITUTE(A63," ","_")),View!A$2:J$158,1,FALSE)</f>
        <v>#N/A</v>
      </c>
      <c r="V63" s="23" t="s">
        <v>48</v>
      </c>
      <c r="W63" s="24" t="s">
        <v>49</v>
      </c>
      <c r="X63" s="23" t="s">
        <v>300</v>
      </c>
      <c r="Y63" s="4" t="s">
        <v>67</v>
      </c>
      <c r="Z63" s="4" t="s">
        <v>54</v>
      </c>
      <c r="AA63" s="25"/>
      <c r="AB63" s="26"/>
    </row>
    <row r="64" spans="1:28" s="4" customFormat="1">
      <c r="A64" s="64" t="s">
        <v>301</v>
      </c>
      <c r="B64" s="40"/>
      <c r="C64" t="s">
        <v>302</v>
      </c>
      <c r="D64" s="24" t="s">
        <v>303</v>
      </c>
      <c r="E64" s="24" t="s">
        <v>54</v>
      </c>
      <c r="F64" s="24" t="s">
        <v>304</v>
      </c>
      <c r="G64" s="24" t="s">
        <v>54</v>
      </c>
      <c r="H64" s="65" t="s">
        <v>305</v>
      </c>
      <c r="M64" s="2" t="e">
        <f>VLOOKUP(A64,Model!C$2:K$281,2,FALSE)=C64</f>
        <v>#N/A</v>
      </c>
      <c r="N64" s="2" t="e">
        <f>VLOOKUP(A64,Model!C$2:L$137,5,FALSE)=D64</f>
        <v>#N/A</v>
      </c>
      <c r="Q64" s="2" t="e">
        <f>VLOOKUP(C64,Table!A$2:F$105,1,FALSE)=C64</f>
        <v>#N/A</v>
      </c>
      <c r="U64" s="2" t="e">
        <f>VLOOKUP(UPPER(SUBSTITUTE(A64," ","_")),View!A$2:J$158,1,FALSE)</f>
        <v>#N/A</v>
      </c>
      <c r="V64" s="23" t="s">
        <v>48</v>
      </c>
      <c r="W64" s="24" t="s">
        <v>49</v>
      </c>
      <c r="X64" s="24" t="s">
        <v>306</v>
      </c>
      <c r="Y64" s="4" t="s">
        <v>303</v>
      </c>
      <c r="Z64" s="4" t="s">
        <v>54</v>
      </c>
      <c r="AA64" s="25"/>
      <c r="AB64" s="26"/>
    </row>
    <row r="65" spans="1:28" s="4" customFormat="1" ht="30">
      <c r="A65" s="64" t="s">
        <v>307</v>
      </c>
      <c r="B65" s="40"/>
      <c r="C65" t="s">
        <v>308</v>
      </c>
      <c r="D65" s="24" t="s">
        <v>80</v>
      </c>
      <c r="E65" s="24" t="s">
        <v>45</v>
      </c>
      <c r="F65" s="24" t="s">
        <v>81</v>
      </c>
      <c r="G65" s="24" t="s">
        <v>45</v>
      </c>
      <c r="H65" s="65" t="s">
        <v>309</v>
      </c>
      <c r="M65" s="2" t="e">
        <f>VLOOKUP(A65,Model!C$2:K$281,2,FALSE)=C65</f>
        <v>#N/A</v>
      </c>
      <c r="N65" s="2" t="e">
        <f>VLOOKUP(A65,Model!C$2:L$137,5,FALSE)=D65</f>
        <v>#N/A</v>
      </c>
      <c r="Q65" s="2" t="e">
        <f>VLOOKUP(C65,Table!A$2:F$105,1,FALSE)=C65</f>
        <v>#N/A</v>
      </c>
      <c r="U65" s="2" t="e">
        <f>VLOOKUP(UPPER(SUBSTITUTE(A65," ","_")),View!A$2:J$158,1,FALSE)</f>
        <v>#N/A</v>
      </c>
      <c r="V65" s="23" t="s">
        <v>48</v>
      </c>
      <c r="W65" s="24" t="s">
        <v>49</v>
      </c>
      <c r="X65" s="23" t="s">
        <v>310</v>
      </c>
      <c r="Y65" s="4" t="s">
        <v>80</v>
      </c>
      <c r="Z65" s="4" t="s">
        <v>54</v>
      </c>
      <c r="AA65" s="25"/>
      <c r="AB65" s="26"/>
    </row>
    <row r="66" spans="1:28" s="4" customFormat="1">
      <c r="A66" s="64" t="s">
        <v>311</v>
      </c>
      <c r="B66" s="40"/>
      <c r="C66" t="s">
        <v>312</v>
      </c>
      <c r="D66" s="24" t="s">
        <v>80</v>
      </c>
      <c r="E66" s="24" t="s">
        <v>54</v>
      </c>
      <c r="F66" s="24" t="s">
        <v>81</v>
      </c>
      <c r="G66" s="24" t="s">
        <v>54</v>
      </c>
      <c r="H66" s="65" t="s">
        <v>313</v>
      </c>
      <c r="M66" s="2" t="e">
        <f>VLOOKUP(A66,Model!C$2:K$281,2,FALSE)=C66</f>
        <v>#N/A</v>
      </c>
      <c r="N66" s="2" t="e">
        <f>VLOOKUP(A66,Model!C$2:L$137,5,FALSE)=D66</f>
        <v>#N/A</v>
      </c>
      <c r="Q66" s="2" t="e">
        <f>VLOOKUP(C66,Table!A$2:F$105,1,FALSE)=C66</f>
        <v>#N/A</v>
      </c>
      <c r="U66" s="2" t="e">
        <f>VLOOKUP(UPPER(SUBSTITUTE(A66," ","_")),View!A$2:J$158,1,FALSE)</f>
        <v>#N/A</v>
      </c>
      <c r="V66" s="23" t="s">
        <v>48</v>
      </c>
      <c r="W66" s="24" t="s">
        <v>49</v>
      </c>
      <c r="X66" s="23" t="s">
        <v>314</v>
      </c>
      <c r="Y66" s="4" t="s">
        <v>80</v>
      </c>
      <c r="Z66" s="4" t="s">
        <v>54</v>
      </c>
      <c r="AA66" s="25"/>
      <c r="AB66" s="26"/>
    </row>
    <row r="67" spans="1:28" s="4" customFormat="1" ht="45">
      <c r="A67" s="64" t="s">
        <v>315</v>
      </c>
      <c r="B67" s="40"/>
      <c r="C67" t="s">
        <v>316</v>
      </c>
      <c r="D67" s="24" t="s">
        <v>195</v>
      </c>
      <c r="E67" s="24" t="s">
        <v>54</v>
      </c>
      <c r="F67" s="24" t="s">
        <v>196</v>
      </c>
      <c r="G67" s="24" t="s">
        <v>54</v>
      </c>
      <c r="H67" s="65" t="s">
        <v>317</v>
      </c>
      <c r="M67" s="2" t="e">
        <f>VLOOKUP(A67,Model!C$2:K$281,2,FALSE)=C67</f>
        <v>#N/A</v>
      </c>
      <c r="N67" s="2" t="e">
        <f>VLOOKUP(A67,Model!C$2:L$137,5,FALSE)=D67</f>
        <v>#N/A</v>
      </c>
      <c r="Q67" s="2" t="e">
        <f>VLOOKUP(C67,Table!A$2:F$105,1,FALSE)=C67</f>
        <v>#N/A</v>
      </c>
      <c r="U67" s="2" t="e">
        <f>VLOOKUP(UPPER(SUBSTITUTE(A67," ","_")),View!A$2:J$158,1,FALSE)</f>
        <v>#N/A</v>
      </c>
      <c r="V67" s="23" t="s">
        <v>48</v>
      </c>
      <c r="W67" s="24" t="s">
        <v>49</v>
      </c>
      <c r="X67" s="23" t="s">
        <v>318</v>
      </c>
      <c r="Y67" s="4" t="s">
        <v>199</v>
      </c>
      <c r="Z67" s="4" t="s">
        <v>54</v>
      </c>
      <c r="AA67" s="25"/>
      <c r="AB67" s="26"/>
    </row>
    <row r="68" spans="1:28" s="4" customFormat="1" ht="45">
      <c r="A68" s="64" t="s">
        <v>319</v>
      </c>
      <c r="B68" s="40"/>
      <c r="C68" t="s">
        <v>320</v>
      </c>
      <c r="D68" s="24" t="s">
        <v>321</v>
      </c>
      <c r="E68" s="24" t="s">
        <v>54</v>
      </c>
      <c r="F68" s="24" t="s">
        <v>322</v>
      </c>
      <c r="G68" s="24" t="s">
        <v>54</v>
      </c>
      <c r="H68" s="65" t="s">
        <v>323</v>
      </c>
      <c r="M68" s="2" t="e">
        <f>VLOOKUP(A68,Model!C$2:K$281,2,FALSE)=C68</f>
        <v>#N/A</v>
      </c>
      <c r="N68" s="2" t="e">
        <f>VLOOKUP(A68,Model!C$2:L$137,5,FALSE)=D68</f>
        <v>#N/A</v>
      </c>
      <c r="Q68" s="2" t="e">
        <f>VLOOKUP(C68,Table!A$2:F$105,1,FALSE)=C68</f>
        <v>#N/A</v>
      </c>
      <c r="U68" s="2" t="e">
        <f>VLOOKUP(UPPER(SUBSTITUTE(A68," ","_")),View!A$2:J$158,1,FALSE)</f>
        <v>#N/A</v>
      </c>
      <c r="V68" s="23" t="s">
        <v>48</v>
      </c>
      <c r="W68" s="24" t="s">
        <v>49</v>
      </c>
      <c r="X68" s="23" t="s">
        <v>324</v>
      </c>
      <c r="Y68" s="4" t="s">
        <v>325</v>
      </c>
      <c r="Z68" s="4" t="s">
        <v>54</v>
      </c>
      <c r="AA68" s="25"/>
      <c r="AB68" s="26"/>
    </row>
    <row r="69" spans="1:28" s="4" customFormat="1" ht="30">
      <c r="A69" s="64" t="s">
        <v>326</v>
      </c>
      <c r="B69" s="40"/>
      <c r="C69" t="s">
        <v>327</v>
      </c>
      <c r="D69" s="24" t="s">
        <v>195</v>
      </c>
      <c r="E69" s="24" t="s">
        <v>54</v>
      </c>
      <c r="F69" s="24" t="s">
        <v>196</v>
      </c>
      <c r="G69" s="24" t="s">
        <v>54</v>
      </c>
      <c r="H69" s="65" t="s">
        <v>328</v>
      </c>
      <c r="M69" s="2" t="e">
        <f>VLOOKUP(A69,Model!C$2:K$281,2,FALSE)=C69</f>
        <v>#N/A</v>
      </c>
      <c r="N69" s="2" t="e">
        <f>VLOOKUP(A69,Model!C$2:L$137,5,FALSE)=D69</f>
        <v>#N/A</v>
      </c>
      <c r="Q69" s="2" t="e">
        <f>VLOOKUP(C69,Table!A$2:F$105,1,FALSE)=C69</f>
        <v>#N/A</v>
      </c>
      <c r="U69" s="2" t="e">
        <f>VLOOKUP(UPPER(SUBSTITUTE(A69," ","_")),View!A$2:J$158,1,FALSE)</f>
        <v>#N/A</v>
      </c>
      <c r="V69" s="23" t="s">
        <v>48</v>
      </c>
      <c r="W69" s="24" t="s">
        <v>49</v>
      </c>
      <c r="X69" s="4" t="s">
        <v>329</v>
      </c>
      <c r="Y69" s="4" t="s">
        <v>199</v>
      </c>
      <c r="Z69" s="4" t="s">
        <v>54</v>
      </c>
      <c r="AA69" s="25"/>
      <c r="AB69" s="26"/>
    </row>
    <row r="70" spans="1:28" s="4" customFormat="1" ht="30">
      <c r="A70" s="64" t="s">
        <v>330</v>
      </c>
      <c r="B70" s="40"/>
      <c r="C70" t="s">
        <v>331</v>
      </c>
      <c r="D70" s="24" t="s">
        <v>195</v>
      </c>
      <c r="E70" s="24" t="s">
        <v>54</v>
      </c>
      <c r="F70" s="24" t="s">
        <v>196</v>
      </c>
      <c r="G70" s="24" t="s">
        <v>54</v>
      </c>
      <c r="H70" s="65" t="s">
        <v>332</v>
      </c>
      <c r="M70" s="2" t="e">
        <f>VLOOKUP(A70,Model!C$2:K$281,2,FALSE)=C70</f>
        <v>#N/A</v>
      </c>
      <c r="N70" s="2" t="e">
        <f>VLOOKUP(A70,Model!C$2:L$137,5,FALSE)=D70</f>
        <v>#N/A</v>
      </c>
      <c r="Q70" s="2" t="e">
        <f>VLOOKUP(C70,Table!A$2:F$105,1,FALSE)=C70</f>
        <v>#N/A</v>
      </c>
      <c r="U70" s="2" t="e">
        <f>VLOOKUP(UPPER(SUBSTITUTE(A70," ","_")),View!A$2:J$158,1,FALSE)</f>
        <v>#N/A</v>
      </c>
      <c r="V70" s="23" t="s">
        <v>48</v>
      </c>
      <c r="W70" s="24" t="s">
        <v>49</v>
      </c>
      <c r="X70" s="23" t="s">
        <v>333</v>
      </c>
      <c r="Y70" s="4" t="s">
        <v>199</v>
      </c>
      <c r="Z70" s="4" t="s">
        <v>54</v>
      </c>
      <c r="AA70" s="25"/>
      <c r="AB70" s="26"/>
    </row>
    <row r="71" spans="1:28" s="4" customFormat="1" ht="30">
      <c r="A71" s="64" t="s">
        <v>334</v>
      </c>
      <c r="B71" s="40"/>
      <c r="C71" t="s">
        <v>335</v>
      </c>
      <c r="D71" s="24" t="s">
        <v>80</v>
      </c>
      <c r="E71" s="24" t="s">
        <v>54</v>
      </c>
      <c r="F71" s="24" t="s">
        <v>81</v>
      </c>
      <c r="G71" s="24" t="s">
        <v>54</v>
      </c>
      <c r="H71" s="65" t="s">
        <v>336</v>
      </c>
      <c r="M71" s="2" t="e">
        <f>VLOOKUP(A71,Model!C$2:K$281,2,FALSE)=C71</f>
        <v>#N/A</v>
      </c>
      <c r="N71" s="2" t="e">
        <f>VLOOKUP(A71,Model!C$2:L$137,5,FALSE)=D71</f>
        <v>#N/A</v>
      </c>
      <c r="Q71" s="2" t="e">
        <f>VLOOKUP(C71,Table!A$2:F$105,1,FALSE)=C71</f>
        <v>#N/A</v>
      </c>
      <c r="U71" s="2" t="e">
        <f>VLOOKUP(UPPER(SUBSTITUTE(A71," ","_")),View!A$2:J$158,1,FALSE)</f>
        <v>#N/A</v>
      </c>
      <c r="V71" s="23" t="s">
        <v>48</v>
      </c>
      <c r="W71" s="24" t="s">
        <v>49</v>
      </c>
      <c r="X71" s="23" t="s">
        <v>337</v>
      </c>
      <c r="Y71" s="4" t="s">
        <v>80</v>
      </c>
      <c r="Z71" s="4" t="s">
        <v>54</v>
      </c>
      <c r="AA71" s="80"/>
      <c r="AB71" s="80"/>
    </row>
    <row r="72" spans="1:28" s="4" customFormat="1">
      <c r="A72" s="64" t="s">
        <v>338</v>
      </c>
      <c r="B72" s="40"/>
      <c r="C72" t="s">
        <v>339</v>
      </c>
      <c r="D72" s="24" t="s">
        <v>124</v>
      </c>
      <c r="E72" s="24" t="s">
        <v>54</v>
      </c>
      <c r="F72" s="28" t="s">
        <v>125</v>
      </c>
      <c r="G72" s="24" t="s">
        <v>54</v>
      </c>
      <c r="H72" s="65" t="s">
        <v>340</v>
      </c>
      <c r="M72" s="2" t="e">
        <f>VLOOKUP(A72,Model!C$2:K$281,2,FALSE)=C72</f>
        <v>#N/A</v>
      </c>
      <c r="N72" s="2" t="e">
        <f>VLOOKUP(A72,Model!C$2:L$137,5,FALSE)=D72</f>
        <v>#N/A</v>
      </c>
      <c r="Q72" s="2" t="e">
        <f>VLOOKUP(C72,Table!A$2:F$105,1,FALSE)=C72</f>
        <v>#N/A</v>
      </c>
      <c r="U72" s="2" t="e">
        <f>VLOOKUP(UPPER(SUBSTITUTE(A72," ","_")),View!A$2:J$158,1,FALSE)</f>
        <v>#N/A</v>
      </c>
      <c r="V72" s="23" t="s">
        <v>48</v>
      </c>
      <c r="W72" s="24" t="s">
        <v>49</v>
      </c>
      <c r="X72" s="23" t="s">
        <v>341</v>
      </c>
      <c r="Y72" s="4" t="s">
        <v>128</v>
      </c>
      <c r="Z72" s="4" t="s">
        <v>54</v>
      </c>
      <c r="AA72" s="81"/>
      <c r="AB72" s="81"/>
    </row>
    <row r="73" spans="1:28" s="4" customFormat="1">
      <c r="A73" s="64" t="s">
        <v>342</v>
      </c>
      <c r="B73" s="40"/>
      <c r="C73" t="s">
        <v>343</v>
      </c>
      <c r="D73" s="24" t="s">
        <v>124</v>
      </c>
      <c r="E73" s="24" t="s">
        <v>54</v>
      </c>
      <c r="F73" s="28" t="s">
        <v>125</v>
      </c>
      <c r="G73" s="24" t="s">
        <v>54</v>
      </c>
      <c r="H73" s="65" t="s">
        <v>344</v>
      </c>
      <c r="M73" s="2" t="e">
        <f>VLOOKUP(A73,Model!C$2:K$281,2,FALSE)=C73</f>
        <v>#N/A</v>
      </c>
      <c r="N73" s="2" t="e">
        <f>VLOOKUP(A73,Model!C$2:L$137,5,FALSE)=D73</f>
        <v>#N/A</v>
      </c>
      <c r="Q73" s="2" t="e">
        <f>VLOOKUP(C73,Table!A$2:F$105,1,FALSE)=C73</f>
        <v>#N/A</v>
      </c>
      <c r="U73" s="2" t="e">
        <f>VLOOKUP(UPPER(SUBSTITUTE(A73," ","_")),View!A$2:J$158,1,FALSE)</f>
        <v>#N/A</v>
      </c>
      <c r="V73" s="23" t="s">
        <v>48</v>
      </c>
      <c r="W73" s="24" t="s">
        <v>49</v>
      </c>
      <c r="X73" s="24" t="s">
        <v>345</v>
      </c>
      <c r="Y73" s="4" t="s">
        <v>128</v>
      </c>
      <c r="Z73" s="4" t="s">
        <v>54</v>
      </c>
      <c r="AA73" s="80"/>
      <c r="AB73" s="80"/>
    </row>
    <row r="74" spans="1:28" s="4" customFormat="1">
      <c r="A74" s="64" t="s">
        <v>346</v>
      </c>
      <c r="B74" s="40"/>
      <c r="C74" t="s">
        <v>347</v>
      </c>
      <c r="D74" s="24" t="s">
        <v>124</v>
      </c>
      <c r="E74" s="24" t="s">
        <v>54</v>
      </c>
      <c r="F74" s="28" t="s">
        <v>125</v>
      </c>
      <c r="G74" s="24" t="s">
        <v>54</v>
      </c>
      <c r="H74" s="65" t="s">
        <v>348</v>
      </c>
      <c r="M74" s="2" t="e">
        <f>VLOOKUP(A74,Model!C$2:K$281,2,FALSE)=C74</f>
        <v>#N/A</v>
      </c>
      <c r="N74" s="2" t="e">
        <f>VLOOKUP(A74,Model!C$2:L$137,5,FALSE)=D74</f>
        <v>#N/A</v>
      </c>
      <c r="Q74" s="2" t="e">
        <f>VLOOKUP(C74,Table!A$2:F$105,1,FALSE)=C74</f>
        <v>#N/A</v>
      </c>
      <c r="U74" s="2" t="e">
        <f>VLOOKUP(UPPER(SUBSTITUTE(A74," ","_")),View!A$2:J$158,1,FALSE)</f>
        <v>#N/A</v>
      </c>
      <c r="V74" s="23" t="s">
        <v>48</v>
      </c>
      <c r="W74" s="24" t="s">
        <v>49</v>
      </c>
      <c r="X74" s="23" t="s">
        <v>349</v>
      </c>
      <c r="Y74" s="4" t="s">
        <v>128</v>
      </c>
      <c r="Z74" s="4" t="s">
        <v>54</v>
      </c>
      <c r="AA74" s="80"/>
      <c r="AB74" s="80"/>
    </row>
    <row r="75" spans="1:28" s="4" customFormat="1">
      <c r="A75" s="64" t="s">
        <v>350</v>
      </c>
      <c r="B75" s="40"/>
      <c r="C75" t="s">
        <v>351</v>
      </c>
      <c r="D75" s="24" t="s">
        <v>352</v>
      </c>
      <c r="E75" s="24" t="s">
        <v>54</v>
      </c>
      <c r="F75" s="24" t="s">
        <v>81</v>
      </c>
      <c r="G75" s="24" t="s">
        <v>54</v>
      </c>
      <c r="H75" s="65" t="s">
        <v>353</v>
      </c>
      <c r="M75" s="2" t="e">
        <f>VLOOKUP(A75,Model!C$2:K$281,2,FALSE)=C75</f>
        <v>#N/A</v>
      </c>
      <c r="N75" s="2" t="e">
        <f>VLOOKUP(A75,Model!C$2:L$137,5,FALSE)=D75</f>
        <v>#N/A</v>
      </c>
      <c r="Q75" s="2" t="e">
        <f>VLOOKUP(C75,Table!A$2:F$105,1,FALSE)=C75</f>
        <v>#N/A</v>
      </c>
      <c r="U75" s="2" t="e">
        <f>VLOOKUP(UPPER(SUBSTITUTE(A75," ","_")),View!A$2:J$158,1,FALSE)</f>
        <v>#N/A</v>
      </c>
      <c r="V75" s="23" t="s">
        <v>48</v>
      </c>
      <c r="W75" s="24" t="s">
        <v>49</v>
      </c>
      <c r="X75" s="23" t="s">
        <v>354</v>
      </c>
      <c r="Y75" s="4" t="s">
        <v>352</v>
      </c>
      <c r="Z75" s="4" t="s">
        <v>54</v>
      </c>
      <c r="AA75" s="80"/>
      <c r="AB75" s="80"/>
    </row>
    <row r="76" spans="1:28" s="4" customFormat="1" ht="30">
      <c r="A76" s="64" t="s">
        <v>355</v>
      </c>
      <c r="B76" s="40"/>
      <c r="C76" t="s">
        <v>356</v>
      </c>
      <c r="D76" s="24" t="s">
        <v>195</v>
      </c>
      <c r="E76" s="24" t="s">
        <v>54</v>
      </c>
      <c r="F76" s="24" t="s">
        <v>196</v>
      </c>
      <c r="G76" s="24" t="s">
        <v>54</v>
      </c>
      <c r="H76" s="65" t="s">
        <v>357</v>
      </c>
      <c r="M76" s="56" t="e">
        <f>VLOOKUP(A76,Model!C$2:K$281,2,FALSE)=C76</f>
        <v>#N/A</v>
      </c>
      <c r="N76" s="56" t="e">
        <f>VLOOKUP(A76,Model!C$2:L$137,5,FALSE)=D76</f>
        <v>#N/A</v>
      </c>
      <c r="Q76" s="2" t="e">
        <f>VLOOKUP(C76,Table!A$2:F$105,1,FALSE)=C76</f>
        <v>#N/A</v>
      </c>
      <c r="U76" s="2" t="e">
        <f>VLOOKUP(UPPER(SUBSTITUTE(A76," ","_")),View!A$2:J$158,1,FALSE)</f>
        <v>#N/A</v>
      </c>
      <c r="V76" s="23" t="s">
        <v>48</v>
      </c>
      <c r="W76" s="24" t="s">
        <v>49</v>
      </c>
      <c r="X76" s="23" t="s">
        <v>358</v>
      </c>
      <c r="Y76" s="4" t="s">
        <v>199</v>
      </c>
      <c r="Z76" s="4" t="s">
        <v>54</v>
      </c>
      <c r="AA76" s="80"/>
      <c r="AB76" s="80"/>
    </row>
    <row r="77" spans="1:28" s="4" customFormat="1" ht="30">
      <c r="A77" s="64" t="s">
        <v>359</v>
      </c>
      <c r="B77" s="40"/>
      <c r="C77" t="s">
        <v>360</v>
      </c>
      <c r="D77" s="24" t="s">
        <v>195</v>
      </c>
      <c r="E77" s="24" t="s">
        <v>54</v>
      </c>
      <c r="F77" s="24" t="s">
        <v>196</v>
      </c>
      <c r="G77" s="24" t="s">
        <v>54</v>
      </c>
      <c r="H77" s="65" t="s">
        <v>361</v>
      </c>
      <c r="M77" s="2" t="e">
        <f>VLOOKUP(A77,Model!C$2:K$281,2,FALSE)=C77</f>
        <v>#N/A</v>
      </c>
      <c r="N77" s="2" t="e">
        <f>VLOOKUP(A77,Model!C$2:L$137,5,FALSE)=D77</f>
        <v>#N/A</v>
      </c>
      <c r="Q77" s="2" t="e">
        <f>VLOOKUP(C77,Table!A$2:F$105,1,FALSE)=C77</f>
        <v>#N/A</v>
      </c>
      <c r="U77" s="2" t="e">
        <f>VLOOKUP(UPPER(SUBSTITUTE(A77," ","_")),View!A$2:J$158,1,FALSE)</f>
        <v>#N/A</v>
      </c>
      <c r="V77" s="23" t="s">
        <v>48</v>
      </c>
      <c r="W77" s="24" t="s">
        <v>49</v>
      </c>
      <c r="X77" s="4" t="s">
        <v>362</v>
      </c>
      <c r="Y77" s="4" t="s">
        <v>199</v>
      </c>
      <c r="Z77" s="4" t="s">
        <v>54</v>
      </c>
      <c r="AA77" s="80"/>
      <c r="AB77" s="80"/>
    </row>
    <row r="78" spans="1:28" s="4" customFormat="1" ht="30">
      <c r="A78" s="64" t="s">
        <v>363</v>
      </c>
      <c r="B78" s="40"/>
      <c r="C78" t="s">
        <v>364</v>
      </c>
      <c r="D78" s="24" t="s">
        <v>195</v>
      </c>
      <c r="E78" s="24" t="s">
        <v>54</v>
      </c>
      <c r="F78" s="24" t="s">
        <v>196</v>
      </c>
      <c r="G78" s="24" t="s">
        <v>54</v>
      </c>
      <c r="H78" s="65" t="s">
        <v>365</v>
      </c>
      <c r="M78" s="2" t="e">
        <f>VLOOKUP(A78,Model!C$2:K$281,2,FALSE)=C78</f>
        <v>#N/A</v>
      </c>
      <c r="N78" s="2" t="e">
        <f>VLOOKUP(A78,Model!C$2:L$137,5,FALSE)=D78</f>
        <v>#N/A</v>
      </c>
      <c r="Q78" s="2" t="e">
        <f>VLOOKUP(C78,Table!A$2:F$105,1,FALSE)=C78</f>
        <v>#N/A</v>
      </c>
      <c r="U78" s="2" t="e">
        <f>VLOOKUP(UPPER(SUBSTITUTE(A78," ","_")),View!A$2:J$158,1,FALSE)</f>
        <v>#N/A</v>
      </c>
      <c r="V78" s="23" t="s">
        <v>48</v>
      </c>
      <c r="W78" s="24" t="s">
        <v>49</v>
      </c>
      <c r="X78" s="4" t="s">
        <v>366</v>
      </c>
      <c r="Y78" s="4" t="s">
        <v>199</v>
      </c>
      <c r="Z78" s="4" t="s">
        <v>54</v>
      </c>
      <c r="AA78" s="80"/>
      <c r="AB78" s="80"/>
    </row>
    <row r="79" spans="1:28" s="4" customFormat="1" ht="30">
      <c r="A79" s="64" t="s">
        <v>367</v>
      </c>
      <c r="B79" s="40"/>
      <c r="C79" t="s">
        <v>368</v>
      </c>
      <c r="D79" s="24" t="s">
        <v>195</v>
      </c>
      <c r="E79" s="24" t="s">
        <v>54</v>
      </c>
      <c r="F79" s="24" t="s">
        <v>196</v>
      </c>
      <c r="G79" s="24" t="s">
        <v>54</v>
      </c>
      <c r="H79" s="65" t="s">
        <v>369</v>
      </c>
      <c r="M79" s="2" t="e">
        <f>VLOOKUP(A79,Model!C$2:K$281,2,FALSE)=C79</f>
        <v>#N/A</v>
      </c>
      <c r="N79" s="2" t="e">
        <f>VLOOKUP(A79,Model!C$2:L$137,5,FALSE)=D79</f>
        <v>#N/A</v>
      </c>
      <c r="Q79" s="2" t="e">
        <f>VLOOKUP(C79,Table!A$2:F$105,1,FALSE)=C79</f>
        <v>#N/A</v>
      </c>
      <c r="U79" s="2" t="e">
        <f>VLOOKUP(UPPER(SUBSTITUTE(A79," ","_")),View!A$2:J$158,1,FALSE)</f>
        <v>#N/A</v>
      </c>
      <c r="V79" s="23" t="s">
        <v>48</v>
      </c>
      <c r="W79" s="24" t="s">
        <v>49</v>
      </c>
      <c r="X79" s="23" t="s">
        <v>370</v>
      </c>
      <c r="Y79" s="4" t="s">
        <v>199</v>
      </c>
      <c r="Z79" s="4" t="s">
        <v>54</v>
      </c>
      <c r="AA79" s="80"/>
      <c r="AB79" s="80"/>
    </row>
    <row r="80" spans="1:28" s="4" customFormat="1" ht="30">
      <c r="A80" s="64" t="s">
        <v>371</v>
      </c>
      <c r="B80" s="40"/>
      <c r="C80" t="s">
        <v>372</v>
      </c>
      <c r="D80" s="24" t="s">
        <v>80</v>
      </c>
      <c r="E80" s="24" t="s">
        <v>54</v>
      </c>
      <c r="F80" s="28" t="s">
        <v>81</v>
      </c>
      <c r="G80" s="24" t="s">
        <v>54</v>
      </c>
      <c r="H80" s="65" t="s">
        <v>373</v>
      </c>
      <c r="M80" s="2" t="e">
        <f>VLOOKUP(A80,Model!C$2:K$281,2,FALSE)=C80</f>
        <v>#N/A</v>
      </c>
      <c r="N80" s="2" t="e">
        <f>VLOOKUP(A80,Model!C$2:L$137,5,FALSE)=D80</f>
        <v>#N/A</v>
      </c>
      <c r="Q80" s="2" t="e">
        <f>VLOOKUP(C80,Table!A$2:F$105,1,FALSE)=C80</f>
        <v>#N/A</v>
      </c>
      <c r="U80" s="2" t="e">
        <f>VLOOKUP(UPPER(SUBSTITUTE(A80," ","_")),View!A$2:J$158,1,FALSE)</f>
        <v>#N/A</v>
      </c>
      <c r="V80" s="23" t="s">
        <v>48</v>
      </c>
      <c r="W80" s="24" t="s">
        <v>49</v>
      </c>
      <c r="X80" s="23" t="s">
        <v>374</v>
      </c>
      <c r="Y80" s="4" t="s">
        <v>80</v>
      </c>
      <c r="Z80" s="4" t="s">
        <v>54</v>
      </c>
      <c r="AA80" s="25"/>
      <c r="AB80" s="26"/>
    </row>
    <row r="81" spans="1:28" s="4" customFormat="1" ht="30">
      <c r="A81" s="64" t="s">
        <v>375</v>
      </c>
      <c r="B81" s="40"/>
      <c r="C81" t="s">
        <v>376</v>
      </c>
      <c r="D81" s="24" t="s">
        <v>80</v>
      </c>
      <c r="E81" s="24" t="s">
        <v>45</v>
      </c>
      <c r="F81" s="28" t="s">
        <v>81</v>
      </c>
      <c r="G81" s="24" t="s">
        <v>45</v>
      </c>
      <c r="H81" s="65" t="s">
        <v>377</v>
      </c>
      <c r="M81" s="2" t="e">
        <f>VLOOKUP(A81,Model!C$2:K$281,2,FALSE)=C81</f>
        <v>#N/A</v>
      </c>
      <c r="N81" s="2" t="e">
        <f>VLOOKUP(A81,Model!C$2:L$137,5,FALSE)=D81</f>
        <v>#N/A</v>
      </c>
      <c r="Q81" s="2" t="e">
        <f>VLOOKUP(C81,Table!A$2:F$105,1,FALSE)=C81</f>
        <v>#N/A</v>
      </c>
      <c r="U81" s="2" t="e">
        <f>VLOOKUP(UPPER(SUBSTITUTE(A81," ","_")),View!A$2:J$158,1,FALSE)</f>
        <v>#N/A</v>
      </c>
      <c r="V81" s="23" t="s">
        <v>48</v>
      </c>
      <c r="W81" s="24" t="s">
        <v>49</v>
      </c>
      <c r="X81" s="23" t="s">
        <v>378</v>
      </c>
      <c r="Y81" s="4" t="s">
        <v>80</v>
      </c>
      <c r="Z81" s="4" t="s">
        <v>54</v>
      </c>
      <c r="AA81" s="25"/>
      <c r="AB81" s="26"/>
    </row>
    <row r="82" spans="1:28" s="4" customFormat="1">
      <c r="A82" s="64" t="s">
        <v>379</v>
      </c>
      <c r="B82" s="40"/>
      <c r="C82" t="s">
        <v>380</v>
      </c>
      <c r="D82" s="24" t="s">
        <v>80</v>
      </c>
      <c r="E82" s="24" t="s">
        <v>54</v>
      </c>
      <c r="F82" s="28" t="s">
        <v>81</v>
      </c>
      <c r="G82" s="24" t="s">
        <v>54</v>
      </c>
      <c r="H82" s="65" t="s">
        <v>381</v>
      </c>
      <c r="M82" s="2" t="e">
        <f>VLOOKUP(A82,Model!C$2:K$281,2,FALSE)=C82</f>
        <v>#N/A</v>
      </c>
      <c r="N82" s="2" t="e">
        <f>VLOOKUP(A82,Model!C$2:L$137,5,FALSE)=D82</f>
        <v>#N/A</v>
      </c>
      <c r="Q82" s="2" t="e">
        <f>VLOOKUP(C82,Table!A$2:F$105,1,FALSE)=C82</f>
        <v>#N/A</v>
      </c>
      <c r="U82" s="2" t="e">
        <f>VLOOKUP(UPPER(SUBSTITUTE(A82," ","_")),View!A$2:J$158,1,FALSE)</f>
        <v>#N/A</v>
      </c>
      <c r="V82" s="23" t="s">
        <v>48</v>
      </c>
      <c r="W82" s="24" t="s">
        <v>49</v>
      </c>
      <c r="X82" s="23" t="s">
        <v>382</v>
      </c>
      <c r="Y82" s="4" t="s">
        <v>80</v>
      </c>
      <c r="Z82" s="4" t="s">
        <v>54</v>
      </c>
      <c r="AA82" s="25"/>
      <c r="AB82" s="26"/>
    </row>
    <row r="83" spans="1:28" s="4" customFormat="1" ht="30">
      <c r="A83" s="64" t="s">
        <v>383</v>
      </c>
      <c r="B83" s="40"/>
      <c r="C83" t="s">
        <v>384</v>
      </c>
      <c r="D83" s="24" t="s">
        <v>80</v>
      </c>
      <c r="E83" s="24" t="s">
        <v>54</v>
      </c>
      <c r="F83" s="28" t="s">
        <v>81</v>
      </c>
      <c r="G83" s="24" t="s">
        <v>54</v>
      </c>
      <c r="H83" s="65" t="s">
        <v>385</v>
      </c>
      <c r="M83" s="2" t="e">
        <f>VLOOKUP(A83,Model!C$2:K$281,2,FALSE)=C83</f>
        <v>#N/A</v>
      </c>
      <c r="N83" s="2" t="e">
        <f>VLOOKUP(A83,Model!C$2:L$137,5,FALSE)=D83</f>
        <v>#N/A</v>
      </c>
      <c r="Q83" s="2" t="e">
        <f>VLOOKUP(C83,Table!A$2:F$105,1,FALSE)=C83</f>
        <v>#N/A</v>
      </c>
      <c r="U83" s="2" t="e">
        <f>VLOOKUP(UPPER(SUBSTITUTE(A83," ","_")),View!A$2:J$158,1,FALSE)</f>
        <v>#N/A</v>
      </c>
      <c r="V83" s="23" t="s">
        <v>48</v>
      </c>
      <c r="W83" s="24" t="s">
        <v>49</v>
      </c>
      <c r="X83" s="23" t="s">
        <v>386</v>
      </c>
      <c r="Y83" s="4" t="s">
        <v>80</v>
      </c>
      <c r="Z83" s="4" t="s">
        <v>54</v>
      </c>
      <c r="AA83" s="25"/>
      <c r="AB83" s="26"/>
    </row>
    <row r="84" spans="1:28" s="4" customFormat="1" ht="30">
      <c r="A84" s="64" t="s">
        <v>387</v>
      </c>
      <c r="B84" s="40"/>
      <c r="C84" t="s">
        <v>388</v>
      </c>
      <c r="D84" s="24" t="s">
        <v>80</v>
      </c>
      <c r="E84" s="24" t="s">
        <v>54</v>
      </c>
      <c r="F84" s="28" t="s">
        <v>81</v>
      </c>
      <c r="G84" s="24" t="s">
        <v>54</v>
      </c>
      <c r="H84" s="65" t="s">
        <v>389</v>
      </c>
      <c r="M84" s="2" t="e">
        <f>VLOOKUP(A84,Model!C$2:K$281,2,FALSE)=C84</f>
        <v>#N/A</v>
      </c>
      <c r="N84" s="2" t="e">
        <f>VLOOKUP(A84,Model!C$2:L$137,5,FALSE)=D84</f>
        <v>#N/A</v>
      </c>
      <c r="Q84" s="2" t="e">
        <f>VLOOKUP(C84,Table!A$2:F$105,1,FALSE)=C84</f>
        <v>#N/A</v>
      </c>
      <c r="U84" s="2" t="e">
        <f>VLOOKUP(UPPER(SUBSTITUTE(A84," ","_")),View!A$2:J$158,1,FALSE)</f>
        <v>#N/A</v>
      </c>
      <c r="V84" s="23" t="s">
        <v>48</v>
      </c>
      <c r="W84" s="24" t="s">
        <v>49</v>
      </c>
      <c r="X84" s="23" t="s">
        <v>390</v>
      </c>
      <c r="Y84" s="4" t="s">
        <v>80</v>
      </c>
      <c r="Z84" s="4" t="s">
        <v>54</v>
      </c>
      <c r="AA84" s="25"/>
      <c r="AB84" s="26"/>
    </row>
    <row r="85" spans="1:28" s="4" customFormat="1" ht="30">
      <c r="A85" s="64" t="s">
        <v>391</v>
      </c>
      <c r="B85" s="40"/>
      <c r="C85" t="s">
        <v>392</v>
      </c>
      <c r="D85" s="24" t="s">
        <v>80</v>
      </c>
      <c r="E85" s="24" t="s">
        <v>54</v>
      </c>
      <c r="F85" s="28" t="s">
        <v>81</v>
      </c>
      <c r="G85" s="24" t="s">
        <v>54</v>
      </c>
      <c r="H85" s="65" t="s">
        <v>393</v>
      </c>
      <c r="M85" s="2" t="e">
        <f>VLOOKUP(A85,Model!C$2:K$281,2,FALSE)=C85</f>
        <v>#N/A</v>
      </c>
      <c r="N85" s="2" t="e">
        <f>VLOOKUP(A85,Model!C$2:L$137,5,FALSE)=D85</f>
        <v>#N/A</v>
      </c>
      <c r="Q85" s="2" t="e">
        <f>VLOOKUP(C85,Table!A$2:F$105,1,FALSE)=C85</f>
        <v>#N/A</v>
      </c>
      <c r="U85" s="2" t="e">
        <f>VLOOKUP(UPPER(SUBSTITUTE(A85," ","_")),View!A$2:J$158,1,FALSE)</f>
        <v>#N/A</v>
      </c>
      <c r="V85" s="23" t="s">
        <v>48</v>
      </c>
      <c r="W85" s="24" t="s">
        <v>49</v>
      </c>
      <c r="X85" s="23" t="s">
        <v>394</v>
      </c>
      <c r="Y85" s="4" t="s">
        <v>80</v>
      </c>
      <c r="Z85" s="4" t="s">
        <v>54</v>
      </c>
      <c r="AA85" s="25"/>
      <c r="AB85" s="26"/>
    </row>
    <row r="86" spans="1:28" s="4" customFormat="1">
      <c r="A86" s="64" t="s">
        <v>395</v>
      </c>
      <c r="B86" s="40"/>
      <c r="C86" t="s">
        <v>396</v>
      </c>
      <c r="D86" s="24" t="s">
        <v>352</v>
      </c>
      <c r="E86" s="24" t="s">
        <v>45</v>
      </c>
      <c r="F86" s="24" t="s">
        <v>397</v>
      </c>
      <c r="G86" s="24" t="s">
        <v>45</v>
      </c>
      <c r="H86" s="65" t="s">
        <v>398</v>
      </c>
      <c r="M86" s="2" t="e">
        <f>VLOOKUP(A86,Model!C$2:K$281,2,FALSE)=C86</f>
        <v>#N/A</v>
      </c>
      <c r="N86" s="2" t="e">
        <f>VLOOKUP(A86,Model!C$2:L$137,5,FALSE)=D86</f>
        <v>#N/A</v>
      </c>
      <c r="Q86" s="2" t="e">
        <f>VLOOKUP(C86,Table!A$2:F$105,1,FALSE)=C86</f>
        <v>#N/A</v>
      </c>
      <c r="U86" s="2" t="e">
        <f>VLOOKUP(UPPER(SUBSTITUTE(A86," ","_")),View!A$2:J$158,1,FALSE)</f>
        <v>#N/A</v>
      </c>
      <c r="V86" s="23" t="s">
        <v>48</v>
      </c>
      <c r="W86" s="24" t="s">
        <v>49</v>
      </c>
      <c r="X86" s="23" t="s">
        <v>399</v>
      </c>
      <c r="Y86" s="4" t="s">
        <v>352</v>
      </c>
      <c r="Z86" s="4" t="s">
        <v>54</v>
      </c>
      <c r="AA86" s="25"/>
      <c r="AB86" s="26"/>
    </row>
    <row r="87" spans="1:28" s="4" customFormat="1" ht="30">
      <c r="A87" s="64" t="s">
        <v>400</v>
      </c>
      <c r="B87" s="40"/>
      <c r="C87" t="s">
        <v>401</v>
      </c>
      <c r="D87" s="24" t="s">
        <v>277</v>
      </c>
      <c r="E87" s="24" t="s">
        <v>54</v>
      </c>
      <c r="F87" s="24" t="s">
        <v>278</v>
      </c>
      <c r="G87" s="24" t="s">
        <v>54</v>
      </c>
      <c r="H87" s="65" t="s">
        <v>402</v>
      </c>
      <c r="M87" s="2" t="e">
        <f>VLOOKUP(A87,Model!C$2:K$281,2,FALSE)=C87</f>
        <v>#N/A</v>
      </c>
      <c r="N87" s="2" t="e">
        <f>VLOOKUP(A87,Model!C$2:L$137,5,FALSE)=D87</f>
        <v>#N/A</v>
      </c>
      <c r="Q87" s="2" t="e">
        <f>VLOOKUP(C87,Table!A$2:F$105,1,FALSE)=C87</f>
        <v>#N/A</v>
      </c>
      <c r="U87" s="2" t="e">
        <f>VLOOKUP(UPPER(SUBSTITUTE(A87," ","_")),View!A$2:J$158,1,FALSE)</f>
        <v>#N/A</v>
      </c>
      <c r="V87" s="23" t="s">
        <v>48</v>
      </c>
      <c r="W87" s="24" t="s">
        <v>49</v>
      </c>
      <c r="X87" s="23" t="s">
        <v>403</v>
      </c>
      <c r="Y87" s="4" t="s">
        <v>277</v>
      </c>
      <c r="Z87" s="4" t="s">
        <v>54</v>
      </c>
      <c r="AA87" s="25"/>
      <c r="AB87" s="26"/>
    </row>
    <row r="88" spans="1:28" s="4" customFormat="1">
      <c r="A88" s="64" t="s">
        <v>404</v>
      </c>
      <c r="B88" s="40"/>
      <c r="C88" t="s">
        <v>405</v>
      </c>
      <c r="D88" s="24" t="s">
        <v>406</v>
      </c>
      <c r="E88" s="24" t="s">
        <v>54</v>
      </c>
      <c r="F88" s="24" t="s">
        <v>407</v>
      </c>
      <c r="G88" s="24" t="s">
        <v>54</v>
      </c>
      <c r="H88" s="65" t="s">
        <v>408</v>
      </c>
      <c r="M88" s="2" t="e">
        <f>VLOOKUP(A88,Model!C$2:K$281,2,FALSE)=C88</f>
        <v>#N/A</v>
      </c>
      <c r="N88" s="2" t="e">
        <f>VLOOKUP(A88,Model!C$2:L$137,5,FALSE)=D88</f>
        <v>#N/A</v>
      </c>
      <c r="Q88" s="2" t="e">
        <f>VLOOKUP(C88,Table!A$2:F$105,1,FALSE)=C88</f>
        <v>#N/A</v>
      </c>
      <c r="U88" s="2" t="e">
        <f>VLOOKUP(UPPER(SUBSTITUTE(A88," ","_")),View!A$2:J$158,1,FALSE)</f>
        <v>#N/A</v>
      </c>
      <c r="V88" s="23" t="s">
        <v>48</v>
      </c>
      <c r="W88" s="24" t="s">
        <v>49</v>
      </c>
      <c r="X88" s="23" t="s">
        <v>409</v>
      </c>
      <c r="Y88" s="4" t="s">
        <v>410</v>
      </c>
      <c r="Z88" s="4" t="s">
        <v>54</v>
      </c>
      <c r="AA88" s="25"/>
      <c r="AB88" s="26"/>
    </row>
    <row r="89" spans="1:28" s="4" customFormat="1">
      <c r="A89" s="64" t="s">
        <v>411</v>
      </c>
      <c r="B89" s="40"/>
      <c r="C89" t="s">
        <v>412</v>
      </c>
      <c r="D89" s="24" t="s">
        <v>73</v>
      </c>
      <c r="E89" s="24" t="s">
        <v>54</v>
      </c>
      <c r="F89" s="24" t="s">
        <v>74</v>
      </c>
      <c r="G89" s="24" t="s">
        <v>54</v>
      </c>
      <c r="H89" s="65" t="s">
        <v>413</v>
      </c>
      <c r="M89" s="2" t="e">
        <f>VLOOKUP(A89,Model!C$2:K$281,2,FALSE)=C89</f>
        <v>#N/A</v>
      </c>
      <c r="N89" s="2" t="e">
        <f>VLOOKUP(A89,Model!C$2:L$137,5,FALSE)=D89</f>
        <v>#N/A</v>
      </c>
      <c r="Q89" s="2" t="e">
        <f>VLOOKUP(C89,Table!A$2:F$105,1,FALSE)=C89</f>
        <v>#N/A</v>
      </c>
      <c r="U89" s="2" t="e">
        <f>VLOOKUP(UPPER(SUBSTITUTE(A89," ","_")),View!A$2:J$158,1,FALSE)</f>
        <v>#N/A</v>
      </c>
      <c r="V89" s="23" t="s">
        <v>48</v>
      </c>
      <c r="W89" s="24" t="s">
        <v>49</v>
      </c>
      <c r="X89" s="24" t="s">
        <v>411</v>
      </c>
      <c r="Y89" s="4" t="s">
        <v>77</v>
      </c>
      <c r="Z89" s="4" t="s">
        <v>54</v>
      </c>
      <c r="AA89" s="25"/>
      <c r="AB89" s="26"/>
    </row>
    <row r="90" spans="1:28" s="4" customFormat="1">
      <c r="A90" s="64" t="s">
        <v>414</v>
      </c>
      <c r="B90" s="40"/>
      <c r="C90" t="s">
        <v>415</v>
      </c>
      <c r="D90" s="24" t="s">
        <v>195</v>
      </c>
      <c r="E90" s="24" t="s">
        <v>54</v>
      </c>
      <c r="F90" s="24" t="s">
        <v>196</v>
      </c>
      <c r="G90" s="24" t="s">
        <v>54</v>
      </c>
      <c r="H90" s="66" t="s">
        <v>416</v>
      </c>
      <c r="M90" s="56" t="e">
        <f>VLOOKUP(A90,Model!C$2:K$281,2,FALSE)=C90</f>
        <v>#N/A</v>
      </c>
      <c r="N90" s="56" t="e">
        <f>VLOOKUP(A90,Model!C$2:L$137,5,FALSE)=D90</f>
        <v>#N/A</v>
      </c>
      <c r="Q90" s="2" t="e">
        <f>VLOOKUP(C90,Table!A$2:F$105,1,FALSE)=C90</f>
        <v>#N/A</v>
      </c>
      <c r="U90" s="2" t="e">
        <f>VLOOKUP(UPPER(SUBSTITUTE(A90," ","_")),View!A$2:J$158,1,FALSE)</f>
        <v>#N/A</v>
      </c>
      <c r="V90" s="23" t="s">
        <v>48</v>
      </c>
      <c r="W90" s="24" t="s">
        <v>49</v>
      </c>
      <c r="X90" s="24" t="s">
        <v>417</v>
      </c>
      <c r="Y90" s="4" t="s">
        <v>199</v>
      </c>
      <c r="Z90" s="4" t="s">
        <v>54</v>
      </c>
      <c r="AA90" s="25"/>
      <c r="AB90" s="26"/>
    </row>
    <row r="91" spans="1:28" s="4" customFormat="1">
      <c r="A91" s="64" t="s">
        <v>418</v>
      </c>
      <c r="B91" s="40"/>
      <c r="C91" t="s">
        <v>419</v>
      </c>
      <c r="D91" s="24" t="s">
        <v>195</v>
      </c>
      <c r="E91" s="24" t="s">
        <v>54</v>
      </c>
      <c r="F91" s="24" t="s">
        <v>196</v>
      </c>
      <c r="G91" s="24" t="s">
        <v>54</v>
      </c>
      <c r="H91" s="65" t="s">
        <v>420</v>
      </c>
      <c r="M91" s="2" t="e">
        <f>VLOOKUP(A91,Model!C$2:K$281,2,FALSE)=C91</f>
        <v>#N/A</v>
      </c>
      <c r="N91" s="2" t="e">
        <f>VLOOKUP(A91,Model!C$2:L$137,5,FALSE)=D91</f>
        <v>#N/A</v>
      </c>
      <c r="Q91" s="2" t="e">
        <f>VLOOKUP(C91,Table!A$2:F$105,1,FALSE)=C91</f>
        <v>#N/A</v>
      </c>
      <c r="U91" s="2" t="e">
        <f>VLOOKUP(UPPER(SUBSTITUTE(A91," ","_")),View!A$2:J$158,1,FALSE)</f>
        <v>#N/A</v>
      </c>
      <c r="V91" s="23" t="s">
        <v>48</v>
      </c>
      <c r="W91" s="24" t="s">
        <v>49</v>
      </c>
      <c r="X91" s="24" t="s">
        <v>421</v>
      </c>
      <c r="Y91" s="4" t="s">
        <v>199</v>
      </c>
      <c r="Z91" s="4" t="s">
        <v>54</v>
      </c>
      <c r="AA91" s="25"/>
      <c r="AB91" s="26"/>
    </row>
    <row r="92" spans="1:28" s="4" customFormat="1" ht="45">
      <c r="A92" s="64" t="s">
        <v>422</v>
      </c>
      <c r="B92" s="40"/>
      <c r="C92" t="s">
        <v>423</v>
      </c>
      <c r="D92" s="24" t="s">
        <v>80</v>
      </c>
      <c r="E92" s="24" t="s">
        <v>54</v>
      </c>
      <c r="F92" s="28" t="s">
        <v>81</v>
      </c>
      <c r="G92" s="24" t="s">
        <v>54</v>
      </c>
      <c r="H92" s="65" t="s">
        <v>424</v>
      </c>
      <c r="M92" s="56" t="e">
        <f>VLOOKUP(A92,Model!C$2:K$281,2,FALSE)=C92</f>
        <v>#N/A</v>
      </c>
      <c r="N92" s="56" t="e">
        <f>VLOOKUP(A92,Model!C$2:L$137,5,FALSE)=D92</f>
        <v>#N/A</v>
      </c>
      <c r="Q92" s="2" t="e">
        <f>VLOOKUP(C92,Table!A$2:F$105,1,FALSE)=C92</f>
        <v>#N/A</v>
      </c>
      <c r="U92" s="2" t="e">
        <f>VLOOKUP(UPPER(SUBSTITUTE(A92," ","_")),View!A$2:J$158,1,FALSE)</f>
        <v>#N/A</v>
      </c>
      <c r="V92" s="23" t="s">
        <v>48</v>
      </c>
      <c r="W92" s="24" t="s">
        <v>49</v>
      </c>
      <c r="X92" s="24" t="s">
        <v>425</v>
      </c>
      <c r="Y92" s="4" t="s">
        <v>80</v>
      </c>
      <c r="Z92" s="4" t="s">
        <v>54</v>
      </c>
      <c r="AA92" s="25"/>
      <c r="AB92" s="26"/>
    </row>
    <row r="93" spans="1:28" s="4" customFormat="1" ht="45">
      <c r="A93" s="64" t="s">
        <v>426</v>
      </c>
      <c r="B93" s="40"/>
      <c r="C93" t="s">
        <v>427</v>
      </c>
      <c r="D93" s="24" t="s">
        <v>80</v>
      </c>
      <c r="E93" s="24" t="s">
        <v>54</v>
      </c>
      <c r="F93" s="28" t="s">
        <v>81</v>
      </c>
      <c r="G93" s="24" t="s">
        <v>54</v>
      </c>
      <c r="H93" s="65" t="s">
        <v>428</v>
      </c>
      <c r="M93" s="2" t="e">
        <f>VLOOKUP(A93,Model!C$2:K$281,2,FALSE)=C93</f>
        <v>#N/A</v>
      </c>
      <c r="N93" s="2" t="e">
        <f>VLOOKUP(A93,Model!C$2:L$137,5,FALSE)=D93</f>
        <v>#N/A</v>
      </c>
      <c r="Q93" s="2" t="e">
        <f>VLOOKUP(C93,Table!A$2:F$105,1,FALSE)=C93</f>
        <v>#N/A</v>
      </c>
      <c r="U93" s="2" t="e">
        <f>VLOOKUP(UPPER(SUBSTITUTE(A93," ","_")),View!A$2:J$158,1,FALSE)</f>
        <v>#N/A</v>
      </c>
      <c r="V93" s="23" t="s">
        <v>48</v>
      </c>
      <c r="W93" s="24" t="s">
        <v>49</v>
      </c>
      <c r="X93" s="23" t="s">
        <v>429</v>
      </c>
      <c r="Y93" s="4" t="s">
        <v>80</v>
      </c>
      <c r="Z93" s="4" t="s">
        <v>54</v>
      </c>
      <c r="AA93" s="25"/>
      <c r="AB93" s="26"/>
    </row>
    <row r="94" spans="1:28" s="4" customFormat="1" ht="45">
      <c r="A94" s="64" t="s">
        <v>430</v>
      </c>
      <c r="B94" s="40"/>
      <c r="C94" t="s">
        <v>431</v>
      </c>
      <c r="D94" s="24" t="s">
        <v>80</v>
      </c>
      <c r="E94" s="24" t="s">
        <v>54</v>
      </c>
      <c r="F94" s="28" t="s">
        <v>81</v>
      </c>
      <c r="G94" s="24" t="s">
        <v>54</v>
      </c>
      <c r="H94" s="65" t="s">
        <v>432</v>
      </c>
      <c r="M94" s="2" t="e">
        <f>VLOOKUP(A94,Model!C$2:K$281,2,FALSE)=C94</f>
        <v>#N/A</v>
      </c>
      <c r="N94" s="2" t="e">
        <f>VLOOKUP(A94,Model!C$2:L$137,5,FALSE)=D94</f>
        <v>#N/A</v>
      </c>
      <c r="Q94" s="2" t="e">
        <f>VLOOKUP(C94,Table!A$2:F$105,1,FALSE)=C94</f>
        <v>#N/A</v>
      </c>
      <c r="U94" s="2" t="e">
        <f>VLOOKUP(UPPER(SUBSTITUTE(A94," ","_")),View!A$2:J$158,1,FALSE)</f>
        <v>#N/A</v>
      </c>
      <c r="V94" s="23" t="s">
        <v>48</v>
      </c>
      <c r="W94" s="24" t="s">
        <v>49</v>
      </c>
      <c r="X94" s="4" t="s">
        <v>433</v>
      </c>
      <c r="Y94" s="4" t="s">
        <v>80</v>
      </c>
      <c r="Z94" s="4" t="s">
        <v>54</v>
      </c>
      <c r="AA94" s="25"/>
      <c r="AB94" s="26"/>
    </row>
    <row r="95" spans="1:28" s="4" customFormat="1" ht="30">
      <c r="A95" s="64" t="s">
        <v>434</v>
      </c>
      <c r="B95" s="40"/>
      <c r="C95" t="s">
        <v>435</v>
      </c>
      <c r="D95" s="24" t="s">
        <v>195</v>
      </c>
      <c r="E95" s="24" t="s">
        <v>45</v>
      </c>
      <c r="F95" s="24" t="s">
        <v>196</v>
      </c>
      <c r="G95" s="24" t="s">
        <v>45</v>
      </c>
      <c r="H95" s="65" t="s">
        <v>436</v>
      </c>
      <c r="M95" s="2" t="e">
        <f>VLOOKUP(A95,Model!C$2:K$281,2,FALSE)=C95</f>
        <v>#N/A</v>
      </c>
      <c r="N95" s="2" t="e">
        <f>VLOOKUP(A95,Model!C$2:L$137,5,FALSE)=D95</f>
        <v>#N/A</v>
      </c>
      <c r="Q95" s="2" t="e">
        <f>VLOOKUP(C95,Table!A$2:F$105,1,FALSE)=C95</f>
        <v>#N/A</v>
      </c>
      <c r="U95" s="2" t="e">
        <f>VLOOKUP(UPPER(SUBSTITUTE(A95," ","_")),View!A$2:J$158,1,FALSE)</f>
        <v>#N/A</v>
      </c>
      <c r="V95" s="23" t="s">
        <v>48</v>
      </c>
      <c r="W95" s="24" t="s">
        <v>49</v>
      </c>
      <c r="X95" s="23" t="s">
        <v>437</v>
      </c>
      <c r="Y95" s="4" t="s">
        <v>199</v>
      </c>
      <c r="Z95" s="4" t="s">
        <v>54</v>
      </c>
      <c r="AA95" s="25"/>
      <c r="AB95" s="26"/>
    </row>
    <row r="96" spans="1:28" s="4" customFormat="1">
      <c r="A96" s="64" t="s">
        <v>438</v>
      </c>
      <c r="B96" s="40"/>
      <c r="C96" t="s">
        <v>439</v>
      </c>
      <c r="D96" s="24" t="s">
        <v>440</v>
      </c>
      <c r="E96" s="24" t="s">
        <v>54</v>
      </c>
      <c r="F96" s="28" t="s">
        <v>441</v>
      </c>
      <c r="G96" s="24" t="s">
        <v>54</v>
      </c>
      <c r="H96" s="65" t="s">
        <v>442</v>
      </c>
      <c r="M96" s="2" t="e">
        <f>VLOOKUP(A96,Model!C$2:K$281,2,FALSE)=C96</f>
        <v>#N/A</v>
      </c>
      <c r="N96" s="2" t="e">
        <f>VLOOKUP(A96,Model!C$2:L$137,5,FALSE)=D96</f>
        <v>#N/A</v>
      </c>
      <c r="Q96" s="2" t="e">
        <f>VLOOKUP(C96,Table!A$2:F$105,1,FALSE)=C96</f>
        <v>#N/A</v>
      </c>
      <c r="U96" s="2" t="e">
        <f>VLOOKUP(UPPER(SUBSTITUTE(A96," ","_")),View!A$2:J$158,1,FALSE)</f>
        <v>#N/A</v>
      </c>
      <c r="V96" s="23" t="s">
        <v>48</v>
      </c>
      <c r="W96" s="24" t="s">
        <v>49</v>
      </c>
      <c r="X96" s="23" t="s">
        <v>443</v>
      </c>
      <c r="Y96" s="4" t="s">
        <v>440</v>
      </c>
      <c r="Z96" s="38" t="s">
        <v>54</v>
      </c>
      <c r="AA96" s="25"/>
      <c r="AB96" s="26"/>
    </row>
    <row r="97" spans="1:28" s="4" customFormat="1">
      <c r="A97" s="64" t="s">
        <v>444</v>
      </c>
      <c r="B97" s="40"/>
      <c r="C97" t="s">
        <v>445</v>
      </c>
      <c r="D97" s="24" t="s">
        <v>105</v>
      </c>
      <c r="E97" s="24" t="s">
        <v>54</v>
      </c>
      <c r="F97" s="24" t="s">
        <v>106</v>
      </c>
      <c r="G97" s="24" t="s">
        <v>54</v>
      </c>
      <c r="H97" s="65" t="s">
        <v>446</v>
      </c>
      <c r="M97" s="2" t="e">
        <f>VLOOKUP(A97,Model!C$2:K$281,2,FALSE)=C97</f>
        <v>#N/A</v>
      </c>
      <c r="N97" s="2" t="e">
        <f>VLOOKUP(A97,Model!C$2:L$137,5,FALSE)=D97</f>
        <v>#N/A</v>
      </c>
      <c r="Q97" s="2" t="e">
        <f>VLOOKUP(C97,Table!A$2:F$105,1,FALSE)=C97</f>
        <v>#N/A</v>
      </c>
      <c r="U97" s="2" t="e">
        <f>VLOOKUP(UPPER(SUBSTITUTE(A97," ","_")),View!A$2:J$158,1,FALSE)</f>
        <v>#N/A</v>
      </c>
      <c r="V97" s="23" t="s">
        <v>48</v>
      </c>
      <c r="W97" s="24" t="s">
        <v>49</v>
      </c>
      <c r="X97" s="23" t="s">
        <v>447</v>
      </c>
      <c r="Y97" s="4" t="s">
        <v>105</v>
      </c>
      <c r="Z97" s="4" t="s">
        <v>54</v>
      </c>
      <c r="AA97" s="80"/>
      <c r="AB97" s="80"/>
    </row>
    <row r="98" spans="1:28" s="4" customFormat="1" ht="30">
      <c r="A98" s="64" t="s">
        <v>448</v>
      </c>
      <c r="B98" s="40"/>
      <c r="C98" t="s">
        <v>449</v>
      </c>
      <c r="D98" s="24" t="s">
        <v>195</v>
      </c>
      <c r="E98" s="24" t="s">
        <v>54</v>
      </c>
      <c r="F98" s="24" t="s">
        <v>196</v>
      </c>
      <c r="G98" s="24" t="s">
        <v>54</v>
      </c>
      <c r="H98" s="65" t="s">
        <v>450</v>
      </c>
      <c r="M98" s="2" t="e">
        <f>VLOOKUP(A98,Model!C$2:K$281,2,FALSE)=C98</f>
        <v>#N/A</v>
      </c>
      <c r="N98" s="2" t="e">
        <f>VLOOKUP(A98,Model!C$2:L$137,5,FALSE)=D98</f>
        <v>#N/A</v>
      </c>
      <c r="Q98" s="2" t="e">
        <f>VLOOKUP(C98,Table!A$2:F$105,1,FALSE)=C98</f>
        <v>#N/A</v>
      </c>
      <c r="U98" s="2" t="e">
        <f>VLOOKUP(UPPER(SUBSTITUTE(A98," ","_")),View!A$2:J$158,1,FALSE)</f>
        <v>#N/A</v>
      </c>
      <c r="V98" s="23" t="s">
        <v>48</v>
      </c>
      <c r="W98" s="24" t="s">
        <v>49</v>
      </c>
      <c r="X98" s="23" t="s">
        <v>451</v>
      </c>
      <c r="Y98" s="4" t="s">
        <v>199</v>
      </c>
      <c r="Z98" s="4" t="s">
        <v>54</v>
      </c>
      <c r="AA98" s="25"/>
      <c r="AB98" s="26"/>
    </row>
    <row r="99" spans="1:28" s="4" customFormat="1">
      <c r="A99" s="64" t="s">
        <v>452</v>
      </c>
      <c r="B99" s="40"/>
      <c r="C99" t="s">
        <v>453</v>
      </c>
      <c r="D99" s="24" t="s">
        <v>454</v>
      </c>
      <c r="E99" s="24" t="s">
        <v>54</v>
      </c>
      <c r="F99" s="28" t="s">
        <v>455</v>
      </c>
      <c r="G99" s="24" t="s">
        <v>54</v>
      </c>
      <c r="H99" s="65" t="s">
        <v>456</v>
      </c>
      <c r="M99" s="2" t="e">
        <f>VLOOKUP(A99,Model!C$2:K$281,2,FALSE)=C99</f>
        <v>#N/A</v>
      </c>
      <c r="N99" s="2" t="e">
        <f>VLOOKUP(A99,Model!C$2:L$137,5,FALSE)=D99</f>
        <v>#N/A</v>
      </c>
      <c r="Q99" s="2" t="e">
        <f>VLOOKUP(C99,Table!A$2:F$105,1,FALSE)=C99</f>
        <v>#N/A</v>
      </c>
      <c r="U99" s="2" t="e">
        <f>VLOOKUP(UPPER(SUBSTITUTE(A99," ","_")),View!A$2:J$158,1,FALSE)</f>
        <v>#N/A</v>
      </c>
      <c r="V99" s="23" t="s">
        <v>48</v>
      </c>
      <c r="W99" s="24" t="s">
        <v>49</v>
      </c>
      <c r="X99" s="23" t="s">
        <v>457</v>
      </c>
      <c r="Y99" s="4" t="s">
        <v>454</v>
      </c>
      <c r="Z99" s="4" t="s">
        <v>54</v>
      </c>
      <c r="AA99" s="1"/>
      <c r="AB99" s="26"/>
    </row>
    <row r="100" spans="1:28" s="4" customFormat="1" ht="45">
      <c r="A100" s="64" t="s">
        <v>458</v>
      </c>
      <c r="B100" s="40"/>
      <c r="C100" t="s">
        <v>459</v>
      </c>
      <c r="D100" s="24" t="s">
        <v>460</v>
      </c>
      <c r="E100" s="24" t="s">
        <v>54</v>
      </c>
      <c r="F100" s="24" t="s">
        <v>461</v>
      </c>
      <c r="G100" s="24" t="s">
        <v>54</v>
      </c>
      <c r="H100" s="65" t="s">
        <v>462</v>
      </c>
      <c r="M100" s="56" t="e">
        <f>VLOOKUP(A100,Model!C$2:K$281,2,FALSE)=C100</f>
        <v>#N/A</v>
      </c>
      <c r="N100" s="56" t="e">
        <f>VLOOKUP(A100,Model!C$2:L$137,5,FALSE)=D100</f>
        <v>#N/A</v>
      </c>
      <c r="Q100" s="2" t="e">
        <f>VLOOKUP(C100,Table!A$2:F$105,1,FALSE)=C100</f>
        <v>#N/A</v>
      </c>
      <c r="U100" s="2" t="e">
        <f>VLOOKUP(UPPER(SUBSTITUTE(A100," ","_")),View!A$2:J$158,1,FALSE)</f>
        <v>#N/A</v>
      </c>
      <c r="V100" s="23" t="s">
        <v>48</v>
      </c>
      <c r="W100" s="24" t="s">
        <v>49</v>
      </c>
      <c r="X100" s="23" t="s">
        <v>463</v>
      </c>
      <c r="Y100" s="4" t="s">
        <v>464</v>
      </c>
      <c r="Z100" s="38" t="s">
        <v>54</v>
      </c>
      <c r="AA100" s="26"/>
      <c r="AB100" s="26"/>
    </row>
    <row r="101" spans="1:28" s="41" customFormat="1" ht="30">
      <c r="A101" s="64" t="s">
        <v>465</v>
      </c>
      <c r="B101" s="1"/>
      <c r="C101" t="s">
        <v>466</v>
      </c>
      <c r="D101" s="28" t="s">
        <v>467</v>
      </c>
      <c r="E101" s="28" t="s">
        <v>54</v>
      </c>
      <c r="F101" s="28" t="s">
        <v>468</v>
      </c>
      <c r="G101" s="28" t="s">
        <v>54</v>
      </c>
      <c r="H101" s="65" t="s">
        <v>469</v>
      </c>
      <c r="J101" s="41" t="s">
        <v>470</v>
      </c>
      <c r="K101" s="41" t="s">
        <v>471</v>
      </c>
      <c r="M101" s="2" t="e">
        <f>VLOOKUP(A101,Model!C$2:K$281,2,FALSE)=C101</f>
        <v>#N/A</v>
      </c>
      <c r="N101" s="2" t="e">
        <f>VLOOKUP(A101,Model!C$2:L$137,5,FALSE)=D101</f>
        <v>#N/A</v>
      </c>
      <c r="Q101" s="2" t="e">
        <f>VLOOKUP(C101,Table!A$2:F$105,1,FALSE)=C101</f>
        <v>#N/A</v>
      </c>
      <c r="U101" s="2" t="e">
        <f>VLOOKUP(UPPER(SUBSTITUTE(A101," ","_")),View!A$2:J$158,1,FALSE)</f>
        <v>#N/A</v>
      </c>
      <c r="V101" s="23" t="s">
        <v>48</v>
      </c>
      <c r="W101" s="24" t="s">
        <v>49</v>
      </c>
      <c r="X101" s="28" t="s">
        <v>472</v>
      </c>
      <c r="Y101" s="41" t="s">
        <v>467</v>
      </c>
      <c r="Z101" s="41" t="s">
        <v>54</v>
      </c>
      <c r="AA101" s="57"/>
      <c r="AB101" s="1"/>
    </row>
    <row r="102" spans="1:28" s="41" customFormat="1" ht="30">
      <c r="A102" s="64" t="s">
        <v>473</v>
      </c>
      <c r="B102" s="1"/>
      <c r="C102" t="s">
        <v>474</v>
      </c>
      <c r="D102" s="28" t="s">
        <v>80</v>
      </c>
      <c r="E102" s="28" t="s">
        <v>54</v>
      </c>
      <c r="F102" s="28" t="s">
        <v>81</v>
      </c>
      <c r="G102" s="28" t="s">
        <v>54</v>
      </c>
      <c r="H102" s="65" t="s">
        <v>475</v>
      </c>
      <c r="J102" s="41" t="s">
        <v>470</v>
      </c>
      <c r="K102" s="41" t="s">
        <v>471</v>
      </c>
      <c r="M102" s="2" t="e">
        <f>VLOOKUP(A102,Model!C$2:K$281,2,FALSE)=C102</f>
        <v>#N/A</v>
      </c>
      <c r="N102" s="2" t="e">
        <f>VLOOKUP(A102,Model!C$2:L$137,5,FALSE)=D102</f>
        <v>#N/A</v>
      </c>
      <c r="Q102" s="2" t="e">
        <f>VLOOKUP(C102,Table!A$2:F$105,1,FALSE)=C102</f>
        <v>#N/A</v>
      </c>
      <c r="U102" s="2" t="e">
        <f>VLOOKUP(UPPER(SUBSTITUTE(A102," ","_")),View!A$2:J$158,1,FALSE)</f>
        <v>#N/A</v>
      </c>
      <c r="V102" s="23" t="s">
        <v>48</v>
      </c>
      <c r="W102" s="24" t="s">
        <v>49</v>
      </c>
      <c r="X102" s="28" t="s">
        <v>476</v>
      </c>
      <c r="Y102" s="41" t="s">
        <v>80</v>
      </c>
      <c r="Z102" s="41" t="s">
        <v>54</v>
      </c>
      <c r="AA102" s="57"/>
      <c r="AB102" s="1"/>
    </row>
    <row r="103" spans="1:28" s="41" customFormat="1" ht="45">
      <c r="A103" s="64" t="s">
        <v>477</v>
      </c>
      <c r="B103" s="1"/>
      <c r="C103" t="s">
        <v>478</v>
      </c>
      <c r="D103" s="28" t="s">
        <v>105</v>
      </c>
      <c r="E103" s="28" t="s">
        <v>54</v>
      </c>
      <c r="F103" s="28" t="s">
        <v>106</v>
      </c>
      <c r="G103" s="28" t="s">
        <v>54</v>
      </c>
      <c r="H103" s="65" t="s">
        <v>479</v>
      </c>
      <c r="J103" s="41" t="s">
        <v>470</v>
      </c>
      <c r="K103" s="41" t="s">
        <v>471</v>
      </c>
      <c r="M103" s="2" t="e">
        <f>VLOOKUP(A103,Model!C$2:K$281,2,FALSE)=C103</f>
        <v>#N/A</v>
      </c>
      <c r="N103" s="2" t="e">
        <f>VLOOKUP(A103,Model!C$2:L$137,5,FALSE)=D103</f>
        <v>#N/A</v>
      </c>
      <c r="Q103" s="2" t="e">
        <f>VLOOKUP(C103,Table!A$2:F$105,1,FALSE)=C103</f>
        <v>#N/A</v>
      </c>
      <c r="U103" s="2" t="e">
        <f>VLOOKUP(UPPER(SUBSTITUTE(A103," ","_")),View!A$2:J$158,1,FALSE)</f>
        <v>#N/A</v>
      </c>
      <c r="V103" s="23" t="s">
        <v>48</v>
      </c>
      <c r="W103" s="24" t="s">
        <v>49</v>
      </c>
      <c r="X103" s="28" t="s">
        <v>480</v>
      </c>
      <c r="Y103" s="41" t="s">
        <v>105</v>
      </c>
      <c r="Z103" s="41" t="s">
        <v>54</v>
      </c>
      <c r="AA103" s="57"/>
      <c r="AB103" s="1"/>
    </row>
    <row r="104" spans="1:28" s="41" customFormat="1">
      <c r="A104" s="64" t="s">
        <v>481</v>
      </c>
      <c r="B104" s="1"/>
      <c r="C104" t="s">
        <v>482</v>
      </c>
      <c r="D104" s="28" t="s">
        <v>80</v>
      </c>
      <c r="E104" s="28" t="s">
        <v>54</v>
      </c>
      <c r="F104" s="28" t="s">
        <v>81</v>
      </c>
      <c r="G104" s="28" t="s">
        <v>54</v>
      </c>
      <c r="H104" s="65" t="s">
        <v>483</v>
      </c>
      <c r="J104" s="41" t="s">
        <v>470</v>
      </c>
      <c r="K104" s="41" t="s">
        <v>471</v>
      </c>
      <c r="M104" s="2" t="e">
        <f>VLOOKUP(A104,Model!C$2:K$281,2,FALSE)=C104</f>
        <v>#N/A</v>
      </c>
      <c r="N104" s="2" t="e">
        <f>VLOOKUP(A104,Model!C$2:L$137,5,FALSE)=D104</f>
        <v>#N/A</v>
      </c>
      <c r="Q104" s="2" t="e">
        <f>VLOOKUP(C104,Table!A$2:F$105,1,FALSE)=C104</f>
        <v>#N/A</v>
      </c>
      <c r="U104" s="2" t="e">
        <f>VLOOKUP(UPPER(SUBSTITUTE(A104," ","_")),View!A$2:J$158,1,FALSE)</f>
        <v>#N/A</v>
      </c>
      <c r="V104" s="23" t="s">
        <v>48</v>
      </c>
      <c r="W104" s="24" t="s">
        <v>49</v>
      </c>
      <c r="X104" s="28" t="s">
        <v>484</v>
      </c>
      <c r="Y104" s="41" t="s">
        <v>80</v>
      </c>
      <c r="Z104" s="41" t="s">
        <v>54</v>
      </c>
      <c r="AA104" s="57"/>
      <c r="AB104" s="1"/>
    </row>
    <row r="105" spans="1:28" s="41" customFormat="1" ht="30">
      <c r="A105" s="64" t="s">
        <v>485</v>
      </c>
      <c r="B105" s="1"/>
      <c r="C105" t="s">
        <v>486</v>
      </c>
      <c r="D105" s="28" t="s">
        <v>80</v>
      </c>
      <c r="E105" s="28" t="s">
        <v>54</v>
      </c>
      <c r="F105" s="28" t="s">
        <v>81</v>
      </c>
      <c r="G105" s="28" t="s">
        <v>54</v>
      </c>
      <c r="H105" s="65" t="s">
        <v>487</v>
      </c>
      <c r="J105" s="41" t="s">
        <v>470</v>
      </c>
      <c r="K105" s="41" t="s">
        <v>471</v>
      </c>
      <c r="M105" s="2" t="e">
        <f>VLOOKUP(A105,Model!C$2:K$281,2,FALSE)=C105</f>
        <v>#N/A</v>
      </c>
      <c r="N105" s="2" t="e">
        <f>VLOOKUP(A105,Model!C$2:L$137,5,FALSE)=D105</f>
        <v>#N/A</v>
      </c>
      <c r="Q105" s="2" t="e">
        <f>VLOOKUP(C105,Table!A$2:F$105,1,FALSE)=C105</f>
        <v>#N/A</v>
      </c>
      <c r="U105" s="2" t="e">
        <f>VLOOKUP(UPPER(SUBSTITUTE(A105," ","_")),View!A$2:J$158,1,FALSE)</f>
        <v>#N/A</v>
      </c>
      <c r="V105" s="23" t="s">
        <v>48</v>
      </c>
      <c r="W105" s="24" t="s">
        <v>49</v>
      </c>
      <c r="X105" s="28" t="s">
        <v>488</v>
      </c>
      <c r="Y105" s="41" t="s">
        <v>80</v>
      </c>
      <c r="Z105" s="41" t="s">
        <v>54</v>
      </c>
      <c r="AA105" s="57"/>
      <c r="AB105" s="1"/>
    </row>
    <row r="106" spans="1:28" s="41" customFormat="1">
      <c r="A106" s="64" t="s">
        <v>489</v>
      </c>
      <c r="B106" s="1"/>
      <c r="C106" s="4" t="s">
        <v>490</v>
      </c>
      <c r="D106" s="28" t="s">
        <v>210</v>
      </c>
      <c r="E106" s="28" t="s">
        <v>54</v>
      </c>
      <c r="F106" s="28" t="s">
        <v>211</v>
      </c>
      <c r="G106" s="28" t="s">
        <v>54</v>
      </c>
      <c r="H106" s="65" t="s">
        <v>491</v>
      </c>
      <c r="J106" s="41" t="s">
        <v>470</v>
      </c>
      <c r="K106" s="41" t="s">
        <v>471</v>
      </c>
      <c r="M106" s="2" t="e">
        <f>VLOOKUP(A106,Model!C$2:K$281,2,FALSE)=C106</f>
        <v>#N/A</v>
      </c>
      <c r="N106" s="2" t="e">
        <f>VLOOKUP(A106,Model!C$2:L$137,5,FALSE)=D106</f>
        <v>#N/A</v>
      </c>
      <c r="Q106" s="2" t="e">
        <f>VLOOKUP(C106,Table!A$2:F$105,1,FALSE)=C106</f>
        <v>#N/A</v>
      </c>
      <c r="U106" s="2" t="e">
        <f>VLOOKUP(UPPER(SUBSTITUTE(A106," ","_")),View!A$2:J$158,1,FALSE)</f>
        <v>#N/A</v>
      </c>
      <c r="V106" s="23" t="s">
        <v>48</v>
      </c>
      <c r="W106" s="24" t="s">
        <v>49</v>
      </c>
      <c r="X106" s="28" t="s">
        <v>492</v>
      </c>
      <c r="Y106" s="41" t="s">
        <v>210</v>
      </c>
      <c r="Z106" s="41" t="s">
        <v>54</v>
      </c>
      <c r="AA106" s="57"/>
      <c r="AB106" s="1"/>
    </row>
    <row r="107" spans="1:28" s="41" customFormat="1" ht="45">
      <c r="A107" s="64" t="s">
        <v>493</v>
      </c>
      <c r="B107" s="1"/>
      <c r="C107" t="s">
        <v>494</v>
      </c>
      <c r="D107" s="28" t="s">
        <v>195</v>
      </c>
      <c r="E107" s="28" t="s">
        <v>54</v>
      </c>
      <c r="F107" s="28" t="s">
        <v>196</v>
      </c>
      <c r="G107" s="28" t="s">
        <v>54</v>
      </c>
      <c r="H107" s="65" t="s">
        <v>495</v>
      </c>
      <c r="J107" s="41" t="s">
        <v>470</v>
      </c>
      <c r="K107" s="41" t="s">
        <v>471</v>
      </c>
      <c r="M107" s="2" t="e">
        <f>VLOOKUP(A107,Model!C$2:K$281,2,FALSE)=C107</f>
        <v>#N/A</v>
      </c>
      <c r="N107" s="2" t="e">
        <f>VLOOKUP(A107,Model!C$2:L$137,5,FALSE)=D107</f>
        <v>#N/A</v>
      </c>
      <c r="Q107" s="2" t="e">
        <f>VLOOKUP(C107,Table!A$2:F$105,1,FALSE)=C107</f>
        <v>#N/A</v>
      </c>
      <c r="U107" s="2" t="e">
        <f>VLOOKUP(UPPER(SUBSTITUTE(A107," ","_")),View!A$2:J$158,1,FALSE)</f>
        <v>#N/A</v>
      </c>
      <c r="V107" s="23" t="s">
        <v>48</v>
      </c>
      <c r="W107" s="24" t="s">
        <v>49</v>
      </c>
      <c r="X107" s="28" t="s">
        <v>496</v>
      </c>
      <c r="Y107" s="41" t="s">
        <v>199</v>
      </c>
      <c r="Z107" s="41" t="s">
        <v>54</v>
      </c>
      <c r="AA107" s="57"/>
      <c r="AB107" s="1"/>
    </row>
    <row r="108" spans="1:28" s="41" customFormat="1" ht="30">
      <c r="A108" s="64" t="s">
        <v>497</v>
      </c>
      <c r="B108" s="1"/>
      <c r="C108" t="s">
        <v>498</v>
      </c>
      <c r="D108" s="28" t="s">
        <v>195</v>
      </c>
      <c r="E108" s="28" t="s">
        <v>54</v>
      </c>
      <c r="F108" s="28" t="s">
        <v>196</v>
      </c>
      <c r="G108" s="28" t="s">
        <v>54</v>
      </c>
      <c r="H108" s="65" t="s">
        <v>499</v>
      </c>
      <c r="J108" s="41" t="s">
        <v>470</v>
      </c>
      <c r="K108" s="41" t="s">
        <v>471</v>
      </c>
      <c r="M108" s="2" t="e">
        <f>VLOOKUP(A108,Model!C$2:K$281,2,FALSE)=C108</f>
        <v>#N/A</v>
      </c>
      <c r="N108" s="2" t="e">
        <f>VLOOKUP(A108,Model!C$2:L$137,5,FALSE)=D108</f>
        <v>#N/A</v>
      </c>
      <c r="Q108" s="2" t="e">
        <f>VLOOKUP(C108,Table!A$2:F$105,1,FALSE)=C108</f>
        <v>#N/A</v>
      </c>
      <c r="U108" s="2" t="e">
        <f>VLOOKUP(UPPER(SUBSTITUTE(A108," ","_")),View!A$2:J$158,1,FALSE)</f>
        <v>#N/A</v>
      </c>
      <c r="V108" s="23" t="s">
        <v>48</v>
      </c>
      <c r="W108" s="24" t="s">
        <v>49</v>
      </c>
      <c r="X108" s="28" t="s">
        <v>500</v>
      </c>
      <c r="Y108" s="41" t="s">
        <v>199</v>
      </c>
      <c r="Z108" s="41" t="s">
        <v>54</v>
      </c>
      <c r="AA108" s="57"/>
      <c r="AB108" s="1"/>
    </row>
    <row r="109" spans="1:28" s="4" customFormat="1" ht="105">
      <c r="A109" s="64" t="s">
        <v>501</v>
      </c>
      <c r="B109" s="46"/>
      <c r="C109" t="s">
        <v>502</v>
      </c>
      <c r="D109" s="24" t="s">
        <v>321</v>
      </c>
      <c r="E109" s="24" t="s">
        <v>54</v>
      </c>
      <c r="F109" s="28" t="s">
        <v>322</v>
      </c>
      <c r="G109" s="24" t="s">
        <v>54</v>
      </c>
      <c r="H109" s="65" t="s">
        <v>503</v>
      </c>
      <c r="J109" s="4" t="s">
        <v>470</v>
      </c>
      <c r="K109" s="4" t="s">
        <v>504</v>
      </c>
      <c r="M109" s="2" t="e">
        <f>VLOOKUP(A109,Model!C$2:K$281,2,FALSE)=C109</f>
        <v>#N/A</v>
      </c>
      <c r="N109" s="2" t="e">
        <f>VLOOKUP(A109,Model!C$2:L$137,5,FALSE)=D109</f>
        <v>#N/A</v>
      </c>
      <c r="Q109" s="2" t="e">
        <f>VLOOKUP(C109,Table!A$2:F$105,1,FALSE)=C109</f>
        <v>#N/A</v>
      </c>
      <c r="U109" s="2" t="e">
        <f>VLOOKUP(UPPER(SUBSTITUTE(A109," ","_")),View!A$2:J$158,1,FALSE)</f>
        <v>#N/A</v>
      </c>
      <c r="V109" s="23" t="s">
        <v>48</v>
      </c>
      <c r="W109" s="24" t="s">
        <v>49</v>
      </c>
      <c r="X109" s="43" t="s">
        <v>505</v>
      </c>
      <c r="Y109" s="42" t="s">
        <v>325</v>
      </c>
      <c r="Z109" s="4" t="s">
        <v>54</v>
      </c>
      <c r="AB109" s="38"/>
    </row>
    <row r="110" spans="1:28" s="4" customFormat="1">
      <c r="A110" s="64" t="s">
        <v>506</v>
      </c>
      <c r="B110" s="46"/>
      <c r="C110" t="s">
        <v>507</v>
      </c>
      <c r="D110" s="24" t="s">
        <v>80</v>
      </c>
      <c r="E110" s="24" t="s">
        <v>54</v>
      </c>
      <c r="F110" s="28" t="s">
        <v>81</v>
      </c>
      <c r="G110" s="24" t="s">
        <v>54</v>
      </c>
      <c r="H110" s="65" t="s">
        <v>508</v>
      </c>
      <c r="J110" s="4" t="s">
        <v>470</v>
      </c>
      <c r="K110" s="4" t="s">
        <v>504</v>
      </c>
      <c r="M110" s="2" t="e">
        <f>VLOOKUP(A110,Model!C$2:K$281,2,FALSE)=C110</f>
        <v>#N/A</v>
      </c>
      <c r="N110" s="2" t="e">
        <f>VLOOKUP(A110,Model!C$2:L$137,5,FALSE)=D110</f>
        <v>#N/A</v>
      </c>
      <c r="Q110" s="2" t="e">
        <f>VLOOKUP(C110,Table!A$2:F$105,1,FALSE)=C110</f>
        <v>#N/A</v>
      </c>
      <c r="U110" s="2" t="e">
        <f>VLOOKUP(UPPER(SUBSTITUTE(A110," ","_")),View!A$2:J$158,1,FALSE)</f>
        <v>#N/A</v>
      </c>
      <c r="V110" s="23" t="s">
        <v>48</v>
      </c>
      <c r="W110" s="24" t="s">
        <v>49</v>
      </c>
      <c r="X110" s="44" t="s">
        <v>509</v>
      </c>
      <c r="Y110" s="24" t="s">
        <v>80</v>
      </c>
      <c r="Z110" s="4" t="s">
        <v>54</v>
      </c>
    </row>
    <row r="111" spans="1:28" ht="45">
      <c r="A111" s="64" t="s">
        <v>510</v>
      </c>
      <c r="B111" s="41"/>
      <c r="C111" t="s">
        <v>511</v>
      </c>
      <c r="D111" s="4" t="s">
        <v>124</v>
      </c>
      <c r="E111" s="4" t="s">
        <v>54</v>
      </c>
      <c r="F111" s="28" t="s">
        <v>125</v>
      </c>
      <c r="G111" s="4" t="s">
        <v>54</v>
      </c>
      <c r="H111" s="65" t="s">
        <v>512</v>
      </c>
      <c r="I111" s="4"/>
      <c r="J111" s="4" t="s">
        <v>470</v>
      </c>
      <c r="K111" s="4" t="s">
        <v>513</v>
      </c>
      <c r="L111" s="4"/>
      <c r="M111" s="2" t="e">
        <f>VLOOKUP(A111,Model!C$2:K$281,2,FALSE)=C111</f>
        <v>#N/A</v>
      </c>
      <c r="N111" s="2" t="e">
        <f>VLOOKUP(A111,Model!C$2:L$137,5,FALSE)=D111</f>
        <v>#N/A</v>
      </c>
      <c r="O111" s="4"/>
      <c r="P111" s="61"/>
      <c r="Q111" s="2" t="e">
        <f>VLOOKUP(C111,Table!A$2:F$105,1,FALSE)=C111</f>
        <v>#N/A</v>
      </c>
      <c r="R111" s="4"/>
      <c r="S111" s="4"/>
      <c r="T111" s="4"/>
      <c r="U111" s="2" t="e">
        <f>VLOOKUP(UPPER(SUBSTITUTE(A111," ","_")),View!A$2:J$158,1,FALSE)</f>
        <v>#N/A</v>
      </c>
      <c r="V111" s="23" t="s">
        <v>48</v>
      </c>
      <c r="W111" s="24" t="s">
        <v>49</v>
      </c>
      <c r="X111" s="4" t="s">
        <v>514</v>
      </c>
      <c r="Y111" s="4" t="s">
        <v>128</v>
      </c>
      <c r="Z111" s="4" t="s">
        <v>54</v>
      </c>
      <c r="AA111" s="45"/>
      <c r="AB111" s="4"/>
    </row>
    <row r="112" spans="1:28">
      <c r="A112" s="64" t="s">
        <v>515</v>
      </c>
      <c r="B112" s="41"/>
      <c r="C112" t="s">
        <v>516</v>
      </c>
      <c r="D112" s="41" t="s">
        <v>517</v>
      </c>
      <c r="E112" s="41" t="s">
        <v>54</v>
      </c>
      <c r="F112" s="41" t="s">
        <v>518</v>
      </c>
      <c r="G112" s="41" t="s">
        <v>54</v>
      </c>
      <c r="H112" s="65" t="s">
        <v>519</v>
      </c>
      <c r="I112" s="41"/>
      <c r="J112" s="41"/>
      <c r="K112" s="41"/>
      <c r="L112" s="41"/>
      <c r="M112" s="41"/>
      <c r="N112" s="41"/>
      <c r="O112" s="41"/>
      <c r="P112" s="62"/>
      <c r="Q112" s="41"/>
      <c r="R112" s="41"/>
      <c r="S112" s="41"/>
      <c r="T112" s="41"/>
      <c r="U112" s="41"/>
      <c r="V112" s="23" t="s">
        <v>48</v>
      </c>
      <c r="W112" s="24" t="s">
        <v>49</v>
      </c>
      <c r="X112" s="41" t="s">
        <v>520</v>
      </c>
      <c r="Y112" s="41" t="s">
        <v>521</v>
      </c>
      <c r="Z112" s="41" t="s">
        <v>54</v>
      </c>
      <c r="AA112" s="41"/>
      <c r="AB112" s="41"/>
    </row>
    <row r="113" spans="1:28" ht="30">
      <c r="A113" s="64" t="s">
        <v>522</v>
      </c>
      <c r="B113" s="41"/>
      <c r="C113" t="s">
        <v>523</v>
      </c>
      <c r="D113" s="41" t="s">
        <v>524</v>
      </c>
      <c r="E113" s="41" t="s">
        <v>54</v>
      </c>
      <c r="F113" s="41" t="s">
        <v>525</v>
      </c>
      <c r="G113" s="41" t="s">
        <v>54</v>
      </c>
      <c r="H113" s="65" t="s">
        <v>526</v>
      </c>
      <c r="I113" s="41"/>
      <c r="J113" s="41"/>
      <c r="K113" s="41"/>
      <c r="L113" s="41"/>
      <c r="M113" s="41"/>
      <c r="N113" s="41"/>
      <c r="O113" s="41"/>
      <c r="P113" s="41"/>
      <c r="Q113" s="41"/>
      <c r="R113" s="41"/>
      <c r="S113" s="41"/>
      <c r="T113" s="41"/>
      <c r="U113" s="41"/>
      <c r="V113" s="23" t="s">
        <v>48</v>
      </c>
      <c r="W113" s="24" t="s">
        <v>49</v>
      </c>
      <c r="X113" s="41" t="s">
        <v>527</v>
      </c>
      <c r="Y113" s="41" t="s">
        <v>528</v>
      </c>
      <c r="Z113" s="41" t="s">
        <v>54</v>
      </c>
      <c r="AA113" s="41"/>
      <c r="AB113" s="41"/>
    </row>
    <row r="114" spans="1:28" ht="75">
      <c r="A114" s="64" t="s">
        <v>529</v>
      </c>
      <c r="B114" s="41"/>
      <c r="C114" t="s">
        <v>530</v>
      </c>
      <c r="D114" s="41" t="s">
        <v>53</v>
      </c>
      <c r="E114" s="41" t="s">
        <v>54</v>
      </c>
      <c r="F114" s="28" t="s">
        <v>55</v>
      </c>
      <c r="G114" s="41" t="s">
        <v>54</v>
      </c>
      <c r="H114" s="65" t="s">
        <v>531</v>
      </c>
      <c r="I114" s="41"/>
      <c r="J114" s="41"/>
      <c r="K114" s="41"/>
      <c r="L114" s="41"/>
      <c r="M114" s="41"/>
      <c r="N114" s="41"/>
      <c r="O114" s="41"/>
      <c r="P114" s="41"/>
      <c r="Q114" s="41"/>
      <c r="R114" s="41"/>
      <c r="S114" s="41"/>
      <c r="T114" s="41"/>
      <c r="U114" s="41"/>
      <c r="V114" s="23" t="s">
        <v>48</v>
      </c>
      <c r="W114" s="24" t="s">
        <v>49</v>
      </c>
      <c r="X114" s="41" t="s">
        <v>532</v>
      </c>
      <c r="Y114" s="41" t="s">
        <v>58</v>
      </c>
      <c r="Z114" s="41" t="s">
        <v>54</v>
      </c>
      <c r="AA114" s="41"/>
      <c r="AB114" s="41"/>
    </row>
    <row r="115" spans="1:28">
      <c r="A115" s="64" t="s">
        <v>533</v>
      </c>
      <c r="B115" s="4"/>
      <c r="C115" t="s">
        <v>534</v>
      </c>
      <c r="D115" s="4" t="s">
        <v>80</v>
      </c>
      <c r="E115" s="4" t="s">
        <v>54</v>
      </c>
      <c r="F115" s="28" t="s">
        <v>81</v>
      </c>
      <c r="G115" s="4"/>
      <c r="H115" s="65" t="s">
        <v>535</v>
      </c>
      <c r="I115" s="4"/>
      <c r="J115" s="4"/>
      <c r="K115" s="4"/>
      <c r="L115" s="4"/>
      <c r="M115" s="63"/>
      <c r="N115" s="63"/>
      <c r="O115" s="4"/>
      <c r="P115" s="4"/>
      <c r="Q115" s="4"/>
      <c r="R115" s="4"/>
      <c r="S115" s="4"/>
      <c r="T115" s="4"/>
      <c r="U115" s="4"/>
      <c r="V115" s="23" t="s">
        <v>48</v>
      </c>
      <c r="W115" s="24" t="s">
        <v>49</v>
      </c>
      <c r="X115" s="4" t="s">
        <v>536</v>
      </c>
      <c r="Y115" s="4" t="s">
        <v>80</v>
      </c>
      <c r="Z115" s="4" t="s">
        <v>54</v>
      </c>
      <c r="AA115" s="4"/>
      <c r="AB115" s="4"/>
    </row>
    <row r="116" spans="1:28" ht="30">
      <c r="A116" s="64" t="s">
        <v>537</v>
      </c>
      <c r="B116" s="4"/>
      <c r="C116" t="s">
        <v>538</v>
      </c>
      <c r="D116" s="4" t="s">
        <v>80</v>
      </c>
      <c r="E116" s="4" t="s">
        <v>54</v>
      </c>
      <c r="F116" s="28" t="s">
        <v>81</v>
      </c>
      <c r="G116" s="4"/>
      <c r="H116" s="65" t="s">
        <v>539</v>
      </c>
      <c r="I116" s="4"/>
      <c r="J116" s="4"/>
      <c r="K116" s="4"/>
      <c r="L116" s="4"/>
      <c r="M116" s="63"/>
      <c r="N116" s="63"/>
      <c r="O116" s="4"/>
      <c r="P116" s="4"/>
      <c r="Q116" s="4"/>
      <c r="R116" s="4"/>
      <c r="S116" s="4"/>
      <c r="T116" s="4"/>
      <c r="U116" s="4"/>
      <c r="V116" s="23" t="s">
        <v>48</v>
      </c>
      <c r="W116" s="24" t="s">
        <v>49</v>
      </c>
      <c r="X116" s="4" t="s">
        <v>540</v>
      </c>
      <c r="Y116" s="4" t="s">
        <v>80</v>
      </c>
      <c r="Z116" s="4" t="s">
        <v>54</v>
      </c>
      <c r="AA116" s="4"/>
      <c r="AB116" s="4"/>
    </row>
    <row r="117" spans="1:28">
      <c r="A117" s="64" t="s">
        <v>541</v>
      </c>
      <c r="B117" s="4"/>
      <c r="C117" t="s">
        <v>542</v>
      </c>
      <c r="D117" s="4" t="s">
        <v>80</v>
      </c>
      <c r="E117" s="4" t="s">
        <v>54</v>
      </c>
      <c r="F117" s="28" t="s">
        <v>81</v>
      </c>
      <c r="G117" s="4"/>
      <c r="H117" s="65" t="s">
        <v>543</v>
      </c>
      <c r="I117" s="4"/>
      <c r="J117" s="4"/>
      <c r="K117" s="4"/>
      <c r="L117" s="4"/>
      <c r="M117" s="63"/>
      <c r="N117" s="63"/>
      <c r="O117" s="4"/>
      <c r="P117" s="4"/>
      <c r="Q117" s="4"/>
      <c r="R117" s="4"/>
      <c r="S117" s="4"/>
      <c r="T117" s="4"/>
      <c r="U117" s="4"/>
      <c r="V117" s="23" t="s">
        <v>48</v>
      </c>
      <c r="W117" s="24" t="s">
        <v>49</v>
      </c>
      <c r="X117" s="4" t="s">
        <v>544</v>
      </c>
      <c r="Y117" s="4" t="s">
        <v>80</v>
      </c>
      <c r="Z117" s="4" t="s">
        <v>54</v>
      </c>
      <c r="AA117" s="4"/>
      <c r="AB117" s="4"/>
    </row>
    <row r="118" spans="1:28">
      <c r="A118" s="64" t="s">
        <v>545</v>
      </c>
      <c r="B118" s="4"/>
      <c r="C118" t="s">
        <v>546</v>
      </c>
      <c r="D118" s="4" t="s">
        <v>524</v>
      </c>
      <c r="E118" s="4" t="s">
        <v>54</v>
      </c>
      <c r="F118" s="41" t="s">
        <v>525</v>
      </c>
      <c r="G118" s="4"/>
      <c r="H118" s="65" t="s">
        <v>547</v>
      </c>
      <c r="I118" s="4"/>
      <c r="J118" s="4"/>
      <c r="K118" s="4"/>
      <c r="L118" s="4"/>
      <c r="M118" s="63"/>
      <c r="N118" s="63"/>
      <c r="O118" s="4"/>
      <c r="P118" s="4"/>
      <c r="Q118" s="4"/>
      <c r="R118" s="4"/>
      <c r="S118" s="4"/>
      <c r="T118" s="4"/>
      <c r="U118" s="4"/>
      <c r="V118" s="23" t="s">
        <v>48</v>
      </c>
      <c r="W118" s="24" t="s">
        <v>49</v>
      </c>
      <c r="X118" s="4" t="s">
        <v>548</v>
      </c>
      <c r="Y118" s="4" t="s">
        <v>528</v>
      </c>
      <c r="Z118" s="4" t="s">
        <v>54</v>
      </c>
      <c r="AA118" s="4"/>
      <c r="AB118" s="4"/>
    </row>
    <row r="119" spans="1:28" ht="45">
      <c r="A119" s="64" t="s">
        <v>549</v>
      </c>
      <c r="B119" s="4"/>
      <c r="C119" t="s">
        <v>550</v>
      </c>
      <c r="D119" s="4" t="s">
        <v>80</v>
      </c>
      <c r="E119" s="4" t="s">
        <v>54</v>
      </c>
      <c r="F119" s="28" t="s">
        <v>81</v>
      </c>
      <c r="G119" s="4"/>
      <c r="H119" s="65" t="s">
        <v>551</v>
      </c>
      <c r="I119" s="4"/>
      <c r="J119" s="4"/>
      <c r="K119" s="4"/>
      <c r="L119" s="4"/>
      <c r="M119" s="63"/>
      <c r="N119" s="63"/>
      <c r="O119" s="4"/>
      <c r="P119" s="4"/>
      <c r="Q119" s="4"/>
      <c r="R119" s="4"/>
      <c r="S119" s="4"/>
      <c r="T119" s="4"/>
      <c r="U119" s="4"/>
      <c r="V119" s="23" t="s">
        <v>48</v>
      </c>
      <c r="W119" s="24" t="s">
        <v>49</v>
      </c>
      <c r="X119" s="4" t="s">
        <v>552</v>
      </c>
      <c r="Y119" s="4" t="s">
        <v>80</v>
      </c>
      <c r="Z119" s="4" t="s">
        <v>54</v>
      </c>
      <c r="AA119" s="4"/>
      <c r="AB119" s="4"/>
    </row>
    <row r="120" spans="1:28" ht="30">
      <c r="A120" s="64" t="s">
        <v>553</v>
      </c>
      <c r="B120" s="4"/>
      <c r="C120" t="s">
        <v>554</v>
      </c>
      <c r="D120" s="4" t="s">
        <v>80</v>
      </c>
      <c r="E120" s="4" t="s">
        <v>54</v>
      </c>
      <c r="F120" s="28" t="s">
        <v>81</v>
      </c>
      <c r="G120" s="4"/>
      <c r="H120" s="65" t="s">
        <v>555</v>
      </c>
      <c r="I120" s="4"/>
      <c r="J120" s="4"/>
      <c r="K120" s="4"/>
      <c r="L120" s="4"/>
      <c r="M120" s="63"/>
      <c r="N120" s="63"/>
      <c r="O120" s="4"/>
      <c r="P120" s="4"/>
      <c r="Q120" s="4"/>
      <c r="R120" s="4"/>
      <c r="S120" s="4"/>
      <c r="T120" s="4"/>
      <c r="U120" s="4"/>
      <c r="V120" s="23" t="s">
        <v>48</v>
      </c>
      <c r="W120" s="24" t="s">
        <v>49</v>
      </c>
      <c r="X120" s="4" t="s">
        <v>556</v>
      </c>
      <c r="Y120" s="4" t="s">
        <v>80</v>
      </c>
      <c r="Z120" s="4" t="s">
        <v>54</v>
      </c>
      <c r="AA120" s="4"/>
      <c r="AB120" s="4"/>
    </row>
    <row r="121" spans="1:28" ht="30">
      <c r="A121" s="64" t="s">
        <v>557</v>
      </c>
      <c r="B121" s="4"/>
      <c r="C121" t="s">
        <v>558</v>
      </c>
      <c r="D121" s="4" t="s">
        <v>80</v>
      </c>
      <c r="E121" s="4" t="s">
        <v>54</v>
      </c>
      <c r="F121" s="28" t="s">
        <v>81</v>
      </c>
      <c r="G121" s="4"/>
      <c r="H121" s="65" t="s">
        <v>559</v>
      </c>
      <c r="I121" s="4"/>
      <c r="J121" s="4"/>
      <c r="K121" s="4"/>
      <c r="L121" s="4"/>
      <c r="M121" s="63"/>
      <c r="N121" s="63"/>
      <c r="O121" s="4"/>
      <c r="P121" s="4"/>
      <c r="Q121" s="4"/>
      <c r="R121" s="4"/>
      <c r="S121" s="4"/>
      <c r="T121" s="4"/>
      <c r="U121" s="4"/>
      <c r="V121" s="23" t="s">
        <v>48</v>
      </c>
      <c r="W121" s="24" t="s">
        <v>49</v>
      </c>
      <c r="X121" s="4" t="s">
        <v>560</v>
      </c>
      <c r="Y121" s="4" t="s">
        <v>80</v>
      </c>
      <c r="Z121" s="4" t="s">
        <v>54</v>
      </c>
      <c r="AA121" s="4"/>
      <c r="AB121" s="4"/>
    </row>
    <row r="122" spans="1:28" ht="45">
      <c r="A122" s="64" t="s">
        <v>561</v>
      </c>
      <c r="B122" s="4"/>
      <c r="C122" t="s">
        <v>562</v>
      </c>
      <c r="D122" s="4" t="s">
        <v>80</v>
      </c>
      <c r="E122" s="4" t="s">
        <v>54</v>
      </c>
      <c r="F122" s="28" t="s">
        <v>81</v>
      </c>
      <c r="G122" s="4"/>
      <c r="H122" s="65" t="s">
        <v>563</v>
      </c>
      <c r="I122" s="4"/>
      <c r="J122" s="4"/>
      <c r="K122" s="4"/>
      <c r="L122" s="4"/>
      <c r="M122" s="63"/>
      <c r="N122" s="63"/>
      <c r="O122" s="4"/>
      <c r="P122" s="4"/>
      <c r="Q122" s="4"/>
      <c r="R122" s="4"/>
      <c r="S122" s="4"/>
      <c r="T122" s="4"/>
      <c r="U122" s="4"/>
      <c r="V122" s="23" t="s">
        <v>48</v>
      </c>
      <c r="W122" s="24" t="s">
        <v>49</v>
      </c>
      <c r="X122" s="4" t="s">
        <v>564</v>
      </c>
      <c r="Y122" s="4" t="s">
        <v>80</v>
      </c>
      <c r="Z122" s="4" t="s">
        <v>54</v>
      </c>
      <c r="AA122" s="4"/>
      <c r="AB122" s="4"/>
    </row>
    <row r="123" spans="1:28" ht="45">
      <c r="A123" s="64" t="s">
        <v>565</v>
      </c>
      <c r="B123" s="4"/>
      <c r="C123" t="s">
        <v>566</v>
      </c>
      <c r="D123" s="4" t="s">
        <v>80</v>
      </c>
      <c r="E123" s="4" t="s">
        <v>54</v>
      </c>
      <c r="F123" s="28" t="s">
        <v>81</v>
      </c>
      <c r="G123" s="4"/>
      <c r="H123" s="65" t="s">
        <v>567</v>
      </c>
      <c r="I123" s="4"/>
      <c r="J123" s="4"/>
      <c r="K123" s="4"/>
      <c r="L123" s="4"/>
      <c r="M123" s="63"/>
      <c r="N123" s="63"/>
      <c r="O123" s="4"/>
      <c r="P123" s="4"/>
      <c r="Q123" s="4"/>
      <c r="R123" s="4"/>
      <c r="S123" s="4"/>
      <c r="T123" s="4"/>
      <c r="U123" s="4"/>
      <c r="V123" s="23" t="s">
        <v>48</v>
      </c>
      <c r="W123" s="24" t="s">
        <v>49</v>
      </c>
      <c r="X123" s="4" t="s">
        <v>568</v>
      </c>
      <c r="Y123" s="4" t="s">
        <v>80</v>
      </c>
      <c r="Z123" s="4" t="s">
        <v>54</v>
      </c>
      <c r="AA123" s="4"/>
      <c r="AB123" s="4"/>
    </row>
    <row r="124" spans="1:28">
      <c r="A124" s="64" t="s">
        <v>569</v>
      </c>
      <c r="B124" s="4"/>
      <c r="C124" t="s">
        <v>570</v>
      </c>
      <c r="D124" s="4" t="s">
        <v>80</v>
      </c>
      <c r="E124" s="4" t="s">
        <v>54</v>
      </c>
      <c r="F124" s="28" t="s">
        <v>81</v>
      </c>
      <c r="G124" s="4"/>
      <c r="H124" s="65" t="s">
        <v>571</v>
      </c>
      <c r="I124" s="4"/>
      <c r="J124" s="4"/>
      <c r="K124" s="4"/>
      <c r="L124" s="4"/>
      <c r="M124" s="63"/>
      <c r="N124" s="63"/>
      <c r="O124" s="4"/>
      <c r="P124" s="4"/>
      <c r="Q124" s="4"/>
      <c r="R124" s="4"/>
      <c r="S124" s="4"/>
      <c r="T124" s="4"/>
      <c r="U124" s="4"/>
      <c r="V124" s="23" t="s">
        <v>48</v>
      </c>
      <c r="W124" s="24" t="s">
        <v>49</v>
      </c>
      <c r="X124" s="4" t="s">
        <v>572</v>
      </c>
      <c r="Y124" s="4" t="s">
        <v>80</v>
      </c>
      <c r="Z124" s="4" t="s">
        <v>54</v>
      </c>
      <c r="AA124" s="4"/>
      <c r="AB124" s="4"/>
    </row>
    <row r="125" spans="1:28">
      <c r="A125" s="64" t="s">
        <v>573</v>
      </c>
      <c r="B125" s="4"/>
      <c r="C125" t="s">
        <v>574</v>
      </c>
      <c r="D125" s="4" t="s">
        <v>80</v>
      </c>
      <c r="E125" s="4" t="s">
        <v>54</v>
      </c>
      <c r="F125" s="28" t="s">
        <v>81</v>
      </c>
      <c r="G125" s="4"/>
      <c r="H125" s="65" t="s">
        <v>575</v>
      </c>
      <c r="I125" s="4"/>
      <c r="J125" s="4"/>
      <c r="K125" s="4"/>
      <c r="L125" s="4"/>
      <c r="M125" s="63"/>
      <c r="N125" s="63"/>
      <c r="O125" s="4"/>
      <c r="P125" s="4"/>
      <c r="Q125" s="4"/>
      <c r="R125" s="4"/>
      <c r="S125" s="4"/>
      <c r="T125" s="4"/>
      <c r="U125" s="4"/>
      <c r="V125" s="23" t="s">
        <v>48</v>
      </c>
      <c r="W125" s="24" t="s">
        <v>49</v>
      </c>
      <c r="X125" s="4" t="s">
        <v>576</v>
      </c>
      <c r="Y125" s="4" t="s">
        <v>80</v>
      </c>
      <c r="Z125" s="4" t="s">
        <v>54</v>
      </c>
      <c r="AA125" s="4"/>
      <c r="AB125" s="4"/>
    </row>
    <row r="126" spans="1:28">
      <c r="A126" s="64" t="s">
        <v>577</v>
      </c>
      <c r="B126" s="4"/>
      <c r="C126" t="s">
        <v>578</v>
      </c>
      <c r="D126" s="4" t="s">
        <v>80</v>
      </c>
      <c r="E126" s="4" t="s">
        <v>54</v>
      </c>
      <c r="F126" s="28" t="s">
        <v>81</v>
      </c>
      <c r="G126" s="4"/>
      <c r="H126" s="65" t="s">
        <v>579</v>
      </c>
      <c r="I126" s="4"/>
      <c r="J126" s="4"/>
      <c r="K126" s="4"/>
      <c r="L126" s="4"/>
      <c r="M126" s="63"/>
      <c r="N126" s="63"/>
      <c r="O126" s="4"/>
      <c r="P126" s="4"/>
      <c r="Q126" s="4"/>
      <c r="R126" s="4"/>
      <c r="S126" s="4"/>
      <c r="T126" s="4"/>
      <c r="U126" s="4"/>
      <c r="V126" s="23" t="s">
        <v>48</v>
      </c>
      <c r="W126" s="24" t="s">
        <v>49</v>
      </c>
      <c r="X126" s="4" t="s">
        <v>580</v>
      </c>
      <c r="Y126" s="4" t="s">
        <v>80</v>
      </c>
      <c r="Z126" s="4" t="s">
        <v>54</v>
      </c>
      <c r="AA126" s="4"/>
      <c r="AB126" s="4"/>
    </row>
    <row r="127" spans="1:28" ht="30">
      <c r="A127" s="64" t="s">
        <v>581</v>
      </c>
      <c r="B127" s="4"/>
      <c r="C127" t="s">
        <v>582</v>
      </c>
      <c r="D127" s="4" t="s">
        <v>80</v>
      </c>
      <c r="E127" s="4" t="s">
        <v>54</v>
      </c>
      <c r="F127" s="28" t="s">
        <v>81</v>
      </c>
      <c r="G127" s="4"/>
      <c r="H127" s="65" t="s">
        <v>583</v>
      </c>
      <c r="I127" s="4"/>
      <c r="J127" s="4"/>
      <c r="K127" s="4"/>
      <c r="L127" s="4"/>
      <c r="M127" s="63"/>
      <c r="N127" s="63"/>
      <c r="O127" s="4"/>
      <c r="P127" s="4"/>
      <c r="Q127" s="4"/>
      <c r="R127" s="4"/>
      <c r="S127" s="4"/>
      <c r="T127" s="4"/>
      <c r="U127" s="4"/>
      <c r="V127" s="23" t="s">
        <v>48</v>
      </c>
      <c r="W127" s="24" t="s">
        <v>49</v>
      </c>
      <c r="X127" s="4" t="s">
        <v>584</v>
      </c>
      <c r="Y127" s="4" t="s">
        <v>80</v>
      </c>
      <c r="Z127" s="4" t="s">
        <v>54</v>
      </c>
      <c r="AA127" s="4"/>
      <c r="AB127" s="4"/>
    </row>
    <row r="128" spans="1:28">
      <c r="A128" s="64" t="s">
        <v>585</v>
      </c>
      <c r="B128" s="4"/>
      <c r="C128" t="s">
        <v>586</v>
      </c>
      <c r="D128" s="4" t="s">
        <v>105</v>
      </c>
      <c r="E128" s="4" t="s">
        <v>54</v>
      </c>
      <c r="F128" s="4" t="s">
        <v>106</v>
      </c>
      <c r="G128" s="4"/>
      <c r="H128" s="65" t="s">
        <v>587</v>
      </c>
      <c r="I128" s="4"/>
      <c r="J128" s="4"/>
      <c r="K128" s="4"/>
      <c r="L128" s="4"/>
      <c r="M128" s="63"/>
      <c r="N128" s="63"/>
      <c r="O128" s="4"/>
      <c r="P128" s="4"/>
      <c r="Q128" s="4"/>
      <c r="R128" s="4"/>
      <c r="S128" s="4"/>
      <c r="T128" s="4"/>
      <c r="U128" s="4"/>
      <c r="V128" s="23" t="s">
        <v>48</v>
      </c>
      <c r="W128" s="24" t="s">
        <v>49</v>
      </c>
      <c r="X128" s="4" t="s">
        <v>588</v>
      </c>
      <c r="Y128" s="4" t="s">
        <v>105</v>
      </c>
      <c r="Z128" s="4" t="s">
        <v>54</v>
      </c>
      <c r="AA128" s="4"/>
      <c r="AB128" s="4"/>
    </row>
    <row r="129" spans="1:28">
      <c r="A129" s="64" t="s">
        <v>589</v>
      </c>
      <c r="B129" s="4"/>
      <c r="C129" t="s">
        <v>590</v>
      </c>
      <c r="D129" s="4" t="s">
        <v>124</v>
      </c>
      <c r="E129" s="4" t="s">
        <v>54</v>
      </c>
      <c r="F129" s="28" t="s">
        <v>125</v>
      </c>
      <c r="G129" s="4"/>
      <c r="H129" s="65" t="s">
        <v>591</v>
      </c>
      <c r="I129" s="4"/>
      <c r="J129" s="4"/>
      <c r="K129" s="4"/>
      <c r="L129" s="4"/>
      <c r="M129" s="63"/>
      <c r="N129" s="63"/>
      <c r="O129" s="4"/>
      <c r="P129" s="4"/>
      <c r="Q129" s="4"/>
      <c r="R129" s="4"/>
      <c r="S129" s="4"/>
      <c r="T129" s="4"/>
      <c r="U129" s="4"/>
      <c r="V129" s="23" t="s">
        <v>48</v>
      </c>
      <c r="W129" s="24" t="s">
        <v>49</v>
      </c>
      <c r="X129" s="4" t="s">
        <v>592</v>
      </c>
      <c r="Y129" s="4" t="s">
        <v>128</v>
      </c>
      <c r="Z129" s="4" t="s">
        <v>54</v>
      </c>
      <c r="AA129" s="4"/>
      <c r="AB129" s="4"/>
    </row>
    <row r="130" spans="1:28">
      <c r="A130" s="64" t="s">
        <v>593</v>
      </c>
      <c r="B130" s="4"/>
      <c r="C130" t="s">
        <v>594</v>
      </c>
      <c r="D130" s="4" t="s">
        <v>195</v>
      </c>
      <c r="E130" s="4" t="s">
        <v>54</v>
      </c>
      <c r="F130" s="28" t="s">
        <v>196</v>
      </c>
      <c r="G130" s="4"/>
      <c r="H130" s="65" t="s">
        <v>595</v>
      </c>
      <c r="I130" s="4"/>
      <c r="J130" s="4"/>
      <c r="K130" s="4"/>
      <c r="L130" s="4"/>
      <c r="M130" s="63"/>
      <c r="N130" s="63"/>
      <c r="O130" s="4"/>
      <c r="P130" s="4"/>
      <c r="Q130" s="4"/>
      <c r="R130" s="4"/>
      <c r="S130" s="4"/>
      <c r="T130" s="4"/>
      <c r="U130" s="4"/>
      <c r="V130" s="23" t="s">
        <v>48</v>
      </c>
      <c r="W130" s="24" t="s">
        <v>49</v>
      </c>
      <c r="X130" s="4" t="s">
        <v>596</v>
      </c>
      <c r="Y130" s="4" t="s">
        <v>199</v>
      </c>
      <c r="Z130" s="4" t="s">
        <v>54</v>
      </c>
      <c r="AA130" s="4"/>
      <c r="AB130" s="4"/>
    </row>
    <row r="131" spans="1:28" ht="30">
      <c r="A131" s="64" t="s">
        <v>597</v>
      </c>
      <c r="B131" s="4"/>
      <c r="C131" t="s">
        <v>598</v>
      </c>
      <c r="D131" s="4" t="s">
        <v>117</v>
      </c>
      <c r="E131" s="4" t="s">
        <v>54</v>
      </c>
      <c r="F131" s="28" t="s">
        <v>118</v>
      </c>
      <c r="G131" s="4"/>
      <c r="H131" s="65" t="s">
        <v>599</v>
      </c>
      <c r="I131" s="4"/>
      <c r="J131" s="4"/>
      <c r="K131" s="4"/>
      <c r="L131" s="4"/>
      <c r="M131" s="63"/>
      <c r="N131" s="63"/>
      <c r="O131" s="4"/>
      <c r="P131" s="4"/>
      <c r="Q131" s="4"/>
      <c r="R131" s="4"/>
      <c r="S131" s="4"/>
      <c r="T131" s="4"/>
      <c r="U131" s="4"/>
      <c r="V131" s="23" t="s">
        <v>48</v>
      </c>
      <c r="W131" s="24" t="s">
        <v>49</v>
      </c>
      <c r="X131" s="4" t="s">
        <v>600</v>
      </c>
      <c r="Y131" s="4" t="s">
        <v>121</v>
      </c>
      <c r="Z131" s="4" t="s">
        <v>54</v>
      </c>
      <c r="AA131" s="4"/>
      <c r="AB131" s="4"/>
    </row>
    <row r="132" spans="1:28" ht="30">
      <c r="A132" s="64" t="s">
        <v>601</v>
      </c>
      <c r="B132" s="4"/>
      <c r="C132" t="s">
        <v>602</v>
      </c>
      <c r="D132" s="4" t="s">
        <v>80</v>
      </c>
      <c r="E132" s="4" t="s">
        <v>54</v>
      </c>
      <c r="F132" s="28" t="s">
        <v>81</v>
      </c>
      <c r="G132" s="4"/>
      <c r="H132" s="65" t="s">
        <v>603</v>
      </c>
      <c r="I132" s="4"/>
      <c r="J132" s="4"/>
      <c r="K132" s="4"/>
      <c r="L132" s="4"/>
      <c r="M132" s="63"/>
      <c r="N132" s="63"/>
      <c r="O132" s="4"/>
      <c r="P132" s="4"/>
      <c r="Q132" s="4"/>
      <c r="R132" s="4"/>
      <c r="S132" s="4"/>
      <c r="T132" s="4"/>
      <c r="U132" s="4"/>
      <c r="V132" s="23" t="s">
        <v>48</v>
      </c>
      <c r="W132" s="24" t="s">
        <v>49</v>
      </c>
      <c r="X132" s="4" t="s">
        <v>604</v>
      </c>
      <c r="Y132" s="4" t="s">
        <v>80</v>
      </c>
      <c r="Z132" s="4" t="s">
        <v>54</v>
      </c>
      <c r="AA132" s="4"/>
      <c r="AB132" s="4"/>
    </row>
    <row r="133" spans="1:28" ht="30">
      <c r="A133" s="64" t="s">
        <v>605</v>
      </c>
      <c r="B133" s="4"/>
      <c r="C133" t="s">
        <v>606</v>
      </c>
      <c r="D133" s="4" t="s">
        <v>80</v>
      </c>
      <c r="E133" s="4" t="s">
        <v>54</v>
      </c>
      <c r="F133" s="28" t="s">
        <v>81</v>
      </c>
      <c r="G133" s="4"/>
      <c r="H133" s="65" t="s">
        <v>607</v>
      </c>
      <c r="I133" s="4"/>
      <c r="J133" s="4"/>
      <c r="K133" s="4"/>
      <c r="L133" s="4"/>
      <c r="M133" s="63"/>
      <c r="N133" s="63"/>
      <c r="O133" s="4"/>
      <c r="P133" s="4"/>
      <c r="Q133" s="4"/>
      <c r="R133" s="4"/>
      <c r="S133" s="4"/>
      <c r="T133" s="4"/>
      <c r="U133" s="4"/>
      <c r="V133" s="23" t="s">
        <v>48</v>
      </c>
      <c r="W133" s="24" t="s">
        <v>49</v>
      </c>
      <c r="X133" s="4" t="s">
        <v>608</v>
      </c>
      <c r="Y133" s="4" t="s">
        <v>80</v>
      </c>
      <c r="Z133" s="4" t="s">
        <v>54</v>
      </c>
      <c r="AA133" s="4"/>
      <c r="AB133" s="4"/>
    </row>
    <row r="134" spans="1:28" ht="30">
      <c r="A134" s="64" t="s">
        <v>609</v>
      </c>
      <c r="B134" s="4"/>
      <c r="C134" t="s">
        <v>610</v>
      </c>
      <c r="D134" s="4" t="s">
        <v>124</v>
      </c>
      <c r="E134" s="4" t="s">
        <v>54</v>
      </c>
      <c r="F134" s="28" t="s">
        <v>125</v>
      </c>
      <c r="G134" s="4"/>
      <c r="H134" s="65" t="s">
        <v>611</v>
      </c>
      <c r="I134" s="4"/>
      <c r="J134" s="4"/>
      <c r="K134" s="4"/>
      <c r="L134" s="4"/>
      <c r="M134" s="63"/>
      <c r="N134" s="63"/>
      <c r="O134" s="4"/>
      <c r="P134" s="4"/>
      <c r="Q134" s="4"/>
      <c r="R134" s="4"/>
      <c r="S134" s="4"/>
      <c r="T134" s="4"/>
      <c r="U134" s="4"/>
      <c r="V134" s="23" t="s">
        <v>48</v>
      </c>
      <c r="W134" s="24" t="s">
        <v>49</v>
      </c>
      <c r="X134" s="4" t="s">
        <v>612</v>
      </c>
      <c r="Y134" s="4" t="s">
        <v>128</v>
      </c>
      <c r="Z134" s="4" t="s">
        <v>54</v>
      </c>
      <c r="AA134" s="4"/>
      <c r="AB134" s="4"/>
    </row>
    <row r="135" spans="1:28">
      <c r="A135" s="64" t="s">
        <v>613</v>
      </c>
      <c r="B135" s="4"/>
      <c r="C135" t="s">
        <v>614</v>
      </c>
      <c r="D135" s="4" t="s">
        <v>80</v>
      </c>
      <c r="E135" s="4" t="s">
        <v>54</v>
      </c>
      <c r="F135" s="28" t="s">
        <v>81</v>
      </c>
      <c r="G135" s="4"/>
      <c r="H135" s="65" t="s">
        <v>615</v>
      </c>
      <c r="I135" s="4"/>
      <c r="J135" s="4"/>
      <c r="K135" s="4"/>
      <c r="L135" s="4"/>
      <c r="M135" s="63"/>
      <c r="N135" s="63"/>
      <c r="O135" s="4"/>
      <c r="P135" s="4"/>
      <c r="Q135" s="4"/>
      <c r="R135" s="4"/>
      <c r="S135" s="4"/>
      <c r="T135" s="4"/>
      <c r="U135" s="4"/>
      <c r="V135" s="23" t="s">
        <v>48</v>
      </c>
      <c r="W135" s="24" t="s">
        <v>49</v>
      </c>
      <c r="X135" s="4" t="s">
        <v>616</v>
      </c>
      <c r="Y135" s="4" t="s">
        <v>80</v>
      </c>
      <c r="Z135" s="4" t="s">
        <v>54</v>
      </c>
      <c r="AA135" s="4"/>
      <c r="AB135" s="4"/>
    </row>
    <row r="136" spans="1:28" ht="45">
      <c r="A136" s="64" t="s">
        <v>617</v>
      </c>
      <c r="B136" s="4"/>
      <c r="C136" t="s">
        <v>618</v>
      </c>
      <c r="D136" s="4" t="s">
        <v>321</v>
      </c>
      <c r="E136" s="4" t="s">
        <v>54</v>
      </c>
      <c r="F136" s="28" t="s">
        <v>322</v>
      </c>
      <c r="G136" s="4"/>
      <c r="H136" s="65" t="s">
        <v>619</v>
      </c>
      <c r="I136" s="4"/>
      <c r="J136" s="4"/>
      <c r="K136" s="4"/>
      <c r="L136" s="4"/>
      <c r="M136" s="63"/>
      <c r="N136" s="63"/>
      <c r="O136" s="4"/>
      <c r="P136" s="4"/>
      <c r="Q136" s="4"/>
      <c r="R136" s="4"/>
      <c r="S136" s="4"/>
      <c r="T136" s="4"/>
      <c r="U136" s="4"/>
      <c r="V136" s="23" t="s">
        <v>48</v>
      </c>
      <c r="W136" s="24" t="s">
        <v>49</v>
      </c>
      <c r="X136" s="4" t="s">
        <v>620</v>
      </c>
      <c r="Y136" s="4" t="s">
        <v>325</v>
      </c>
      <c r="Z136" s="4" t="s">
        <v>54</v>
      </c>
      <c r="AA136" s="4"/>
      <c r="AB136" s="4"/>
    </row>
    <row r="137" spans="1:28" ht="30">
      <c r="A137" s="64" t="s">
        <v>621</v>
      </c>
      <c r="B137" s="4"/>
      <c r="C137" t="s">
        <v>622</v>
      </c>
      <c r="D137" s="4" t="s">
        <v>80</v>
      </c>
      <c r="E137" s="4"/>
      <c r="F137" s="28" t="s">
        <v>81</v>
      </c>
      <c r="G137" s="4"/>
      <c r="H137" s="65" t="s">
        <v>623</v>
      </c>
      <c r="I137" s="4"/>
      <c r="J137" s="4"/>
      <c r="K137" s="4"/>
      <c r="L137" s="4"/>
      <c r="M137" s="63"/>
      <c r="N137" s="63"/>
      <c r="O137" s="4"/>
      <c r="P137" s="4"/>
      <c r="Q137" s="4"/>
      <c r="R137" s="4"/>
      <c r="S137" s="4"/>
      <c r="T137" s="4"/>
      <c r="U137" s="4"/>
      <c r="V137" s="23" t="s">
        <v>48</v>
      </c>
      <c r="W137" s="24" t="s">
        <v>49</v>
      </c>
      <c r="X137" s="4" t="s">
        <v>624</v>
      </c>
      <c r="Y137" s="4" t="s">
        <v>80</v>
      </c>
      <c r="Z137" s="4" t="s">
        <v>54</v>
      </c>
      <c r="AA137" s="4"/>
      <c r="AB137" s="4"/>
    </row>
    <row r="138" spans="1:28">
      <c r="A138" s="64" t="s">
        <v>625</v>
      </c>
      <c r="B138" s="4"/>
      <c r="C138" t="s">
        <v>626</v>
      </c>
      <c r="D138" s="4" t="s">
        <v>80</v>
      </c>
      <c r="E138" s="4" t="s">
        <v>54</v>
      </c>
      <c r="F138" s="28" t="s">
        <v>81</v>
      </c>
      <c r="G138" s="4"/>
      <c r="H138" s="65" t="s">
        <v>627</v>
      </c>
      <c r="I138" s="4"/>
      <c r="J138" s="4"/>
      <c r="K138" s="4"/>
      <c r="L138" s="4"/>
      <c r="M138" s="63"/>
      <c r="N138" s="63"/>
      <c r="O138" s="4"/>
      <c r="P138" s="4"/>
      <c r="Q138" s="4"/>
      <c r="R138" s="4"/>
      <c r="S138" s="4"/>
      <c r="T138" s="4"/>
      <c r="U138" s="4"/>
      <c r="V138" s="23" t="s">
        <v>48</v>
      </c>
      <c r="W138" s="24" t="s">
        <v>49</v>
      </c>
      <c r="X138" s="4" t="s">
        <v>628</v>
      </c>
      <c r="Y138" s="4" t="s">
        <v>80</v>
      </c>
      <c r="Z138" s="4" t="s">
        <v>54</v>
      </c>
      <c r="AA138" s="4"/>
      <c r="AB138" s="4"/>
    </row>
    <row r="139" spans="1:28" ht="30">
      <c r="A139" s="64" t="s">
        <v>629</v>
      </c>
      <c r="B139" s="4"/>
      <c r="C139" t="s">
        <v>630</v>
      </c>
      <c r="D139" s="4" t="s">
        <v>80</v>
      </c>
      <c r="E139" s="4" t="s">
        <v>54</v>
      </c>
      <c r="F139" s="28" t="s">
        <v>81</v>
      </c>
      <c r="G139" s="4"/>
      <c r="H139" s="65" t="s">
        <v>631</v>
      </c>
      <c r="I139" s="4"/>
      <c r="J139" s="4"/>
      <c r="K139" s="4"/>
      <c r="L139" s="4"/>
      <c r="M139" s="63"/>
      <c r="N139" s="63"/>
      <c r="O139" s="4"/>
      <c r="P139" s="4"/>
      <c r="Q139" s="4"/>
      <c r="R139" s="4"/>
      <c r="S139" s="4"/>
      <c r="T139" s="4"/>
      <c r="U139" s="4"/>
      <c r="V139" s="23" t="s">
        <v>48</v>
      </c>
      <c r="W139" s="24" t="s">
        <v>49</v>
      </c>
      <c r="X139" s="4" t="s">
        <v>630</v>
      </c>
      <c r="Y139" s="4" t="s">
        <v>80</v>
      </c>
      <c r="Z139" s="4" t="s">
        <v>54</v>
      </c>
      <c r="AA139" s="4"/>
      <c r="AB139" s="4"/>
    </row>
    <row r="140" spans="1:28" ht="30">
      <c r="A140" s="64" t="s">
        <v>632</v>
      </c>
      <c r="B140" s="4"/>
      <c r="C140" t="s">
        <v>633</v>
      </c>
      <c r="D140" s="4" t="s">
        <v>80</v>
      </c>
      <c r="E140" s="4" t="s">
        <v>54</v>
      </c>
      <c r="F140" s="28" t="s">
        <v>81</v>
      </c>
      <c r="G140" s="4"/>
      <c r="H140" s="65" t="s">
        <v>634</v>
      </c>
      <c r="I140" s="4"/>
      <c r="J140" s="4"/>
      <c r="K140" s="4"/>
      <c r="L140" s="4"/>
      <c r="M140" s="63"/>
      <c r="N140" s="63"/>
      <c r="O140" s="4"/>
      <c r="P140" s="4"/>
      <c r="Q140" s="4"/>
      <c r="R140" s="4"/>
      <c r="S140" s="4"/>
      <c r="T140" s="4"/>
      <c r="U140" s="4"/>
      <c r="V140" s="23" t="s">
        <v>48</v>
      </c>
      <c r="W140" s="24" t="s">
        <v>49</v>
      </c>
      <c r="X140" s="4" t="s">
        <v>635</v>
      </c>
      <c r="Y140" s="4" t="s">
        <v>80</v>
      </c>
      <c r="Z140" s="4" t="s">
        <v>54</v>
      </c>
      <c r="AA140" s="4"/>
      <c r="AB140" s="4"/>
    </row>
    <row r="141" spans="1:28" ht="105">
      <c r="A141" s="64" t="s">
        <v>636</v>
      </c>
      <c r="B141" s="4"/>
      <c r="C141" t="s">
        <v>637</v>
      </c>
      <c r="D141" s="4" t="s">
        <v>80</v>
      </c>
      <c r="E141" s="4" t="s">
        <v>54</v>
      </c>
      <c r="F141" s="28" t="s">
        <v>81</v>
      </c>
      <c r="G141" s="4"/>
      <c r="H141" s="65" t="s">
        <v>638</v>
      </c>
      <c r="I141" s="4"/>
      <c r="J141" s="4"/>
      <c r="K141" s="4"/>
      <c r="L141" s="4"/>
      <c r="M141" s="63"/>
      <c r="N141" s="63"/>
      <c r="O141" s="4"/>
      <c r="P141" s="4"/>
      <c r="Q141" s="4"/>
      <c r="R141" s="4"/>
      <c r="S141" s="4"/>
      <c r="T141" s="4"/>
      <c r="U141" s="4"/>
      <c r="V141" s="23" t="s">
        <v>48</v>
      </c>
      <c r="W141" s="24" t="s">
        <v>49</v>
      </c>
      <c r="X141" s="4" t="s">
        <v>639</v>
      </c>
      <c r="Y141" s="4" t="s">
        <v>80</v>
      </c>
      <c r="Z141" s="4" t="s">
        <v>54</v>
      </c>
      <c r="AA141" s="4"/>
      <c r="AB141" s="4"/>
    </row>
    <row r="142" spans="1:28" ht="30">
      <c r="A142" s="64" t="s">
        <v>640</v>
      </c>
      <c r="B142" s="4"/>
      <c r="C142" t="s">
        <v>641</v>
      </c>
      <c r="D142" s="4" t="s">
        <v>80</v>
      </c>
      <c r="E142" s="4" t="s">
        <v>54</v>
      </c>
      <c r="F142" s="28" t="s">
        <v>81</v>
      </c>
      <c r="G142" s="4"/>
      <c r="H142" s="65" t="s">
        <v>642</v>
      </c>
      <c r="I142" s="4"/>
      <c r="J142" s="4"/>
      <c r="K142" s="4"/>
      <c r="L142" s="4"/>
      <c r="M142" s="63"/>
      <c r="N142" s="63"/>
      <c r="O142" s="4"/>
      <c r="P142" s="4"/>
      <c r="Q142" s="4"/>
      <c r="R142" s="4"/>
      <c r="S142" s="4"/>
      <c r="T142" s="4"/>
      <c r="U142" s="4"/>
      <c r="V142" s="23" t="s">
        <v>48</v>
      </c>
      <c r="W142" s="24" t="s">
        <v>49</v>
      </c>
      <c r="X142" s="4" t="s">
        <v>643</v>
      </c>
      <c r="Y142" s="4" t="s">
        <v>80</v>
      </c>
      <c r="Z142" s="4" t="s">
        <v>54</v>
      </c>
      <c r="AA142" s="4"/>
      <c r="AB142" s="4"/>
    </row>
    <row r="143" spans="1:28">
      <c r="A143" s="64" t="s">
        <v>644</v>
      </c>
      <c r="B143" s="4"/>
      <c r="C143" t="s">
        <v>645</v>
      </c>
      <c r="D143" s="4" t="s">
        <v>80</v>
      </c>
      <c r="E143" s="4" t="s">
        <v>54</v>
      </c>
      <c r="F143" s="28" t="s">
        <v>81</v>
      </c>
      <c r="G143" s="4"/>
      <c r="H143" s="65" t="s">
        <v>646</v>
      </c>
      <c r="I143" s="4"/>
      <c r="J143" s="4"/>
      <c r="K143" s="4"/>
      <c r="L143" s="4"/>
      <c r="M143" s="63"/>
      <c r="N143" s="63"/>
      <c r="O143" s="4"/>
      <c r="P143" s="4"/>
      <c r="Q143" s="4"/>
      <c r="R143" s="4"/>
      <c r="S143" s="4"/>
      <c r="T143" s="4"/>
      <c r="U143" s="4"/>
      <c r="V143" s="23" t="s">
        <v>48</v>
      </c>
      <c r="W143" s="24" t="s">
        <v>49</v>
      </c>
      <c r="X143" s="4" t="s">
        <v>647</v>
      </c>
      <c r="Y143" s="4" t="s">
        <v>80</v>
      </c>
      <c r="Z143" s="4" t="s">
        <v>54</v>
      </c>
      <c r="AA143" s="4"/>
      <c r="AB143" s="4"/>
    </row>
    <row r="144" spans="1:28" ht="30">
      <c r="A144" s="64" t="s">
        <v>648</v>
      </c>
      <c r="B144" s="4"/>
      <c r="C144" t="s">
        <v>649</v>
      </c>
      <c r="D144" s="4" t="s">
        <v>195</v>
      </c>
      <c r="E144" s="4" t="s">
        <v>54</v>
      </c>
      <c r="F144" s="28" t="s">
        <v>196</v>
      </c>
      <c r="G144" s="4"/>
      <c r="H144" s="65" t="s">
        <v>650</v>
      </c>
      <c r="I144" s="4"/>
      <c r="J144" s="4"/>
      <c r="K144" s="4"/>
      <c r="L144" s="4"/>
      <c r="M144" s="63"/>
      <c r="N144" s="63"/>
      <c r="O144" s="4"/>
      <c r="P144" s="4"/>
      <c r="Q144" s="4"/>
      <c r="R144" s="4"/>
      <c r="S144" s="4"/>
      <c r="T144" s="4"/>
      <c r="U144" s="4"/>
      <c r="V144" s="23" t="s">
        <v>48</v>
      </c>
      <c r="W144" s="24" t="s">
        <v>49</v>
      </c>
      <c r="X144" s="4" t="s">
        <v>651</v>
      </c>
      <c r="Y144" s="4" t="s">
        <v>199</v>
      </c>
      <c r="Z144" s="4" t="s">
        <v>54</v>
      </c>
      <c r="AA144" s="4"/>
      <c r="AB144" s="4"/>
    </row>
    <row r="145" spans="1:28" ht="45">
      <c r="A145" s="64" t="s">
        <v>652</v>
      </c>
      <c r="B145" s="4"/>
      <c r="C145" t="s">
        <v>653</v>
      </c>
      <c r="D145" s="4" t="s">
        <v>195</v>
      </c>
      <c r="E145" s="4" t="s">
        <v>54</v>
      </c>
      <c r="F145" s="28" t="s">
        <v>196</v>
      </c>
      <c r="G145" s="4"/>
      <c r="H145" s="65" t="s">
        <v>654</v>
      </c>
      <c r="I145" s="4"/>
      <c r="J145" s="4"/>
      <c r="K145" s="4"/>
      <c r="L145" s="4"/>
      <c r="M145" s="63"/>
      <c r="N145" s="63"/>
      <c r="O145" s="4"/>
      <c r="P145" s="4"/>
      <c r="Q145" s="4"/>
      <c r="R145" s="4"/>
      <c r="S145" s="4"/>
      <c r="T145" s="4"/>
      <c r="U145" s="4"/>
      <c r="V145" s="23" t="s">
        <v>48</v>
      </c>
      <c r="W145" s="24" t="s">
        <v>49</v>
      </c>
      <c r="X145" s="4" t="s">
        <v>655</v>
      </c>
      <c r="Y145" s="4" t="s">
        <v>199</v>
      </c>
      <c r="Z145" s="4" t="s">
        <v>54</v>
      </c>
      <c r="AA145" s="4"/>
      <c r="AB145" s="4"/>
    </row>
    <row r="146" spans="1:28">
      <c r="A146" s="64" t="s">
        <v>656</v>
      </c>
      <c r="B146" s="4"/>
      <c r="C146" t="s">
        <v>657</v>
      </c>
      <c r="D146" s="4" t="s">
        <v>406</v>
      </c>
      <c r="E146" s="4" t="s">
        <v>54</v>
      </c>
      <c r="F146" s="28" t="s">
        <v>658</v>
      </c>
      <c r="G146" s="4"/>
      <c r="H146" s="65" t="s">
        <v>659</v>
      </c>
      <c r="I146" s="4"/>
      <c r="J146" s="4"/>
      <c r="K146" s="4"/>
      <c r="L146" s="4"/>
      <c r="M146" s="63"/>
      <c r="N146" s="63"/>
      <c r="O146" s="4"/>
      <c r="P146" s="4"/>
      <c r="Q146" s="4"/>
      <c r="R146" s="4"/>
      <c r="S146" s="4"/>
      <c r="T146" s="4"/>
      <c r="U146" s="4"/>
      <c r="V146" s="23" t="s">
        <v>48</v>
      </c>
      <c r="W146" s="24" t="s">
        <v>49</v>
      </c>
      <c r="X146" s="4" t="s">
        <v>660</v>
      </c>
      <c r="Y146" s="4" t="s">
        <v>410</v>
      </c>
      <c r="Z146" s="4" t="s">
        <v>54</v>
      </c>
      <c r="AA146" s="4"/>
      <c r="AB146" s="4"/>
    </row>
    <row r="147" spans="1:28" ht="30">
      <c r="A147" s="64" t="s">
        <v>661</v>
      </c>
      <c r="B147" s="4"/>
      <c r="C147" t="s">
        <v>662</v>
      </c>
      <c r="D147" s="4" t="s">
        <v>460</v>
      </c>
      <c r="E147" s="4" t="s">
        <v>54</v>
      </c>
      <c r="F147" s="28" t="s">
        <v>461</v>
      </c>
      <c r="G147" s="4"/>
      <c r="H147" s="65" t="s">
        <v>663</v>
      </c>
      <c r="I147" s="4"/>
      <c r="J147" s="4"/>
      <c r="K147" s="4"/>
      <c r="L147" s="4"/>
      <c r="M147" s="63"/>
      <c r="N147" s="63"/>
      <c r="O147" s="4"/>
      <c r="P147" s="4"/>
      <c r="Q147" s="4"/>
      <c r="R147" s="4"/>
      <c r="S147" s="4"/>
      <c r="T147" s="4"/>
      <c r="U147" s="4"/>
      <c r="V147" s="23" t="s">
        <v>48</v>
      </c>
      <c r="W147" s="24" t="s">
        <v>49</v>
      </c>
      <c r="X147" s="4" t="s">
        <v>664</v>
      </c>
      <c r="Y147" s="4" t="s">
        <v>464</v>
      </c>
      <c r="Z147" s="4" t="s">
        <v>54</v>
      </c>
      <c r="AA147" s="4"/>
      <c r="AB147" s="4"/>
    </row>
    <row r="148" spans="1:28">
      <c r="A148" s="64" t="s">
        <v>665</v>
      </c>
      <c r="B148" s="4"/>
      <c r="C148" t="s">
        <v>666</v>
      </c>
      <c r="D148" s="4" t="s">
        <v>667</v>
      </c>
      <c r="E148" s="4" t="s">
        <v>54</v>
      </c>
      <c r="F148" s="28" t="s">
        <v>407</v>
      </c>
      <c r="G148" s="4"/>
      <c r="H148" s="65" t="s">
        <v>668</v>
      </c>
      <c r="I148" s="4"/>
      <c r="J148" s="4"/>
      <c r="K148" s="4"/>
      <c r="L148" s="4"/>
      <c r="M148" s="63"/>
      <c r="N148" s="63"/>
      <c r="O148" s="4"/>
      <c r="P148" s="4"/>
      <c r="Q148" s="4"/>
      <c r="R148" s="4"/>
      <c r="S148" s="4"/>
      <c r="T148" s="4"/>
      <c r="U148" s="4"/>
      <c r="V148" s="23" t="s">
        <v>48</v>
      </c>
      <c r="W148" s="24" t="s">
        <v>49</v>
      </c>
      <c r="X148" s="4" t="s">
        <v>669</v>
      </c>
      <c r="Y148" s="4" t="s">
        <v>670</v>
      </c>
      <c r="Z148" s="4" t="s">
        <v>54</v>
      </c>
      <c r="AA148" s="4"/>
      <c r="AB148" s="4"/>
    </row>
    <row r="149" spans="1:28">
      <c r="A149" s="64" t="s">
        <v>671</v>
      </c>
      <c r="B149" s="4"/>
      <c r="C149" t="s">
        <v>672</v>
      </c>
      <c r="D149" s="4" t="s">
        <v>80</v>
      </c>
      <c r="E149" s="4" t="s">
        <v>54</v>
      </c>
      <c r="F149" s="28" t="s">
        <v>81</v>
      </c>
      <c r="G149" s="4"/>
      <c r="H149" s="65" t="s">
        <v>673</v>
      </c>
      <c r="I149" s="4"/>
      <c r="J149" s="4"/>
      <c r="K149" s="4"/>
      <c r="L149" s="4"/>
      <c r="M149" s="63"/>
      <c r="N149" s="63"/>
      <c r="O149" s="4"/>
      <c r="P149" s="4"/>
      <c r="Q149" s="4"/>
      <c r="R149" s="4"/>
      <c r="S149" s="4"/>
      <c r="T149" s="4"/>
      <c r="U149" s="4"/>
      <c r="V149" s="23" t="s">
        <v>48</v>
      </c>
      <c r="W149" s="24" t="s">
        <v>49</v>
      </c>
      <c r="X149" s="4" t="s">
        <v>674</v>
      </c>
      <c r="Y149" s="4" t="s">
        <v>80</v>
      </c>
      <c r="Z149" s="4" t="s">
        <v>54</v>
      </c>
      <c r="AA149" s="4"/>
      <c r="AB149" s="4"/>
    </row>
    <row r="150" spans="1:28">
      <c r="A150" s="64" t="s">
        <v>675</v>
      </c>
      <c r="B150" s="4"/>
      <c r="C150" t="s">
        <v>676</v>
      </c>
      <c r="D150" s="4" t="s">
        <v>677</v>
      </c>
      <c r="E150" s="4" t="s">
        <v>54</v>
      </c>
      <c r="F150" s="28" t="s">
        <v>678</v>
      </c>
      <c r="G150" s="4"/>
      <c r="H150" s="65" t="s">
        <v>679</v>
      </c>
      <c r="I150" s="4"/>
      <c r="J150" s="4"/>
      <c r="K150" s="4"/>
      <c r="L150" s="4"/>
      <c r="M150" s="63"/>
      <c r="N150" s="63"/>
      <c r="O150" s="4"/>
      <c r="P150" s="4"/>
      <c r="Q150" s="4"/>
      <c r="R150" s="4"/>
      <c r="S150" s="4"/>
      <c r="T150" s="4"/>
      <c r="U150" s="4"/>
      <c r="V150" s="23" t="s">
        <v>48</v>
      </c>
      <c r="W150" s="24" t="s">
        <v>49</v>
      </c>
      <c r="X150" s="4" t="s">
        <v>680</v>
      </c>
      <c r="Y150" s="4" t="s">
        <v>681</v>
      </c>
      <c r="Z150" s="4" t="s">
        <v>54</v>
      </c>
      <c r="AA150" s="4"/>
      <c r="AB150" s="4"/>
    </row>
    <row r="151" spans="1:28">
      <c r="A151" s="40" t="s">
        <v>682</v>
      </c>
      <c r="B151" s="4"/>
      <c r="C151" t="s">
        <v>683</v>
      </c>
      <c r="D151" s="4" t="s">
        <v>684</v>
      </c>
      <c r="E151" s="4" t="s">
        <v>45</v>
      </c>
      <c r="F151" s="4" t="s">
        <v>684</v>
      </c>
      <c r="G151" s="4"/>
      <c r="H151" s="27" t="s">
        <v>685</v>
      </c>
      <c r="I151" s="4"/>
      <c r="J151" s="4"/>
      <c r="K151" s="4"/>
      <c r="L151" s="4"/>
      <c r="M151" s="63"/>
      <c r="N151" s="63"/>
      <c r="O151" s="4"/>
      <c r="P151" s="4"/>
      <c r="Q151" s="4"/>
      <c r="R151" s="4"/>
      <c r="S151" s="4"/>
      <c r="T151" s="4"/>
      <c r="U151" s="4"/>
      <c r="V151" s="23"/>
      <c r="W151" s="24"/>
      <c r="X151" s="4"/>
      <c r="Y151" s="4"/>
      <c r="Z151" s="4"/>
      <c r="AA151" s="4"/>
      <c r="AB151" s="4"/>
    </row>
    <row r="152" spans="1:28">
      <c r="A152" s="64" t="s">
        <v>686</v>
      </c>
      <c r="B152" s="4"/>
      <c r="C152" t="s">
        <v>687</v>
      </c>
      <c r="D152" s="4" t="s">
        <v>688</v>
      </c>
      <c r="E152" s="4" t="s">
        <v>45</v>
      </c>
      <c r="F152" s="28" t="s">
        <v>689</v>
      </c>
      <c r="G152" s="4"/>
      <c r="H152" s="27" t="s">
        <v>690</v>
      </c>
      <c r="I152" s="4"/>
      <c r="J152" s="4"/>
      <c r="K152" s="4"/>
      <c r="L152" s="4"/>
      <c r="M152" s="63"/>
      <c r="N152" s="63"/>
      <c r="O152" s="4"/>
      <c r="P152" s="4"/>
      <c r="Q152" s="4"/>
      <c r="R152" s="4"/>
      <c r="S152" s="4"/>
      <c r="T152" s="4"/>
      <c r="U152" s="4"/>
      <c r="V152" s="23"/>
      <c r="W152" s="24"/>
      <c r="X152" s="4"/>
      <c r="Y152" s="4"/>
      <c r="Z152" s="4"/>
      <c r="AA152" s="4"/>
      <c r="AB152" s="4"/>
    </row>
    <row r="153" spans="1:28" ht="30">
      <c r="A153" s="64" t="s">
        <v>691</v>
      </c>
      <c r="B153" s="4"/>
      <c r="C153" t="s">
        <v>692</v>
      </c>
      <c r="D153" s="4" t="s">
        <v>684</v>
      </c>
      <c r="E153" s="4" t="s">
        <v>45</v>
      </c>
      <c r="F153" s="4" t="s">
        <v>684</v>
      </c>
      <c r="G153" s="4"/>
      <c r="H153" s="27" t="s">
        <v>693</v>
      </c>
      <c r="I153" s="4"/>
      <c r="J153" s="4"/>
      <c r="K153" s="4"/>
      <c r="L153" s="4"/>
      <c r="M153" s="63"/>
      <c r="N153" s="63"/>
      <c r="O153" s="4"/>
      <c r="P153" s="4"/>
      <c r="Q153" s="4"/>
      <c r="R153" s="4"/>
      <c r="S153" s="4"/>
      <c r="T153" s="4"/>
      <c r="U153" s="4"/>
      <c r="V153" s="23"/>
      <c r="W153" s="24"/>
      <c r="X153" s="4"/>
      <c r="Y153" s="4"/>
      <c r="Z153" s="4"/>
      <c r="AA153" s="4"/>
      <c r="AB153" s="4"/>
    </row>
    <row r="154" spans="1:28" ht="30">
      <c r="A154" s="64" t="s">
        <v>694</v>
      </c>
      <c r="B154" s="4"/>
      <c r="C154" t="s">
        <v>695</v>
      </c>
      <c r="D154" s="4" t="s">
        <v>688</v>
      </c>
      <c r="E154" s="4" t="s">
        <v>45</v>
      </c>
      <c r="F154" s="28" t="s">
        <v>689</v>
      </c>
      <c r="G154" s="4"/>
      <c r="H154" s="27" t="s">
        <v>696</v>
      </c>
      <c r="I154" s="4"/>
      <c r="J154" s="4"/>
      <c r="K154" s="4"/>
      <c r="L154" s="4"/>
      <c r="M154" s="63"/>
      <c r="N154" s="63"/>
      <c r="O154" s="4"/>
      <c r="P154" s="4"/>
      <c r="Q154" s="4"/>
      <c r="R154" s="4"/>
      <c r="S154" s="4"/>
      <c r="T154" s="4"/>
      <c r="U154" s="4"/>
      <c r="V154" s="23"/>
      <c r="W154" s="24"/>
      <c r="X154" s="4"/>
      <c r="Y154" s="4"/>
      <c r="Z154" s="4"/>
      <c r="AA154" s="4"/>
      <c r="AB154" s="4"/>
    </row>
    <row r="155" spans="1:28">
      <c r="A155" s="64" t="s">
        <v>697</v>
      </c>
      <c r="B155" s="4"/>
      <c r="C155" s="4"/>
      <c r="D155" s="4" t="s">
        <v>105</v>
      </c>
      <c r="E155" s="4" t="s">
        <v>54</v>
      </c>
      <c r="F155" s="24" t="s">
        <v>106</v>
      </c>
      <c r="G155" s="4"/>
      <c r="H155" s="4" t="s">
        <v>698</v>
      </c>
      <c r="I155" s="4"/>
      <c r="J155" s="4"/>
      <c r="K155" s="4"/>
      <c r="L155" s="4"/>
      <c r="M155" s="63"/>
      <c r="N155" s="63"/>
      <c r="O155" s="4"/>
      <c r="P155" s="4"/>
      <c r="Q155" s="4"/>
      <c r="R155" s="4"/>
      <c r="S155" s="4"/>
      <c r="T155" s="4"/>
      <c r="U155" s="4"/>
      <c r="V155" s="23"/>
      <c r="W155" s="24"/>
      <c r="X155" s="4"/>
      <c r="Y155" s="4"/>
      <c r="Z155" s="4"/>
      <c r="AA155" s="4"/>
      <c r="AB155" s="4"/>
    </row>
    <row r="156" spans="1:28" ht="30">
      <c r="A156" s="41" t="s">
        <v>699</v>
      </c>
      <c r="B156" s="4"/>
      <c r="C156" s="4" t="s">
        <v>700</v>
      </c>
      <c r="D156" s="4" t="s">
        <v>80</v>
      </c>
      <c r="E156" s="4" t="s">
        <v>54</v>
      </c>
      <c r="F156" s="28" t="s">
        <v>81</v>
      </c>
      <c r="G156" s="4"/>
      <c r="H156" s="27" t="s">
        <v>701</v>
      </c>
      <c r="I156" s="4"/>
      <c r="J156" s="4"/>
      <c r="K156" s="4"/>
      <c r="L156" s="4"/>
      <c r="M156" s="63"/>
      <c r="N156" s="63"/>
      <c r="O156" s="4"/>
      <c r="P156" s="4"/>
      <c r="Q156" s="4"/>
      <c r="R156" s="4"/>
      <c r="S156" s="4"/>
      <c r="T156" s="4"/>
      <c r="U156" s="4"/>
      <c r="V156" s="23" t="s">
        <v>48</v>
      </c>
      <c r="W156" s="24" t="s">
        <v>49</v>
      </c>
      <c r="X156" s="4" t="s">
        <v>700</v>
      </c>
      <c r="Y156" s="4" t="s">
        <v>80</v>
      </c>
      <c r="Z156" s="4" t="s">
        <v>54</v>
      </c>
      <c r="AA156" s="4"/>
      <c r="AB156" s="4"/>
    </row>
  </sheetData>
  <autoFilter ref="A9:AC154" xr:uid="{9B3FCE14-916F-44E5-ADDA-A49F8526702E}"/>
  <mergeCells count="22">
    <mergeCell ref="AA79:AB79"/>
    <mergeCell ref="AA97:AB97"/>
    <mergeCell ref="AA74:AB74"/>
    <mergeCell ref="AA75:AB75"/>
    <mergeCell ref="AA76:AB76"/>
    <mergeCell ref="AA77:AB77"/>
    <mergeCell ref="AA78:AB78"/>
    <mergeCell ref="AA61:AB61"/>
    <mergeCell ref="AA62:AB62"/>
    <mergeCell ref="AA71:AB71"/>
    <mergeCell ref="AA72:AB72"/>
    <mergeCell ref="AA73:AB73"/>
    <mergeCell ref="AA29:AB29"/>
    <mergeCell ref="AA32:AB32"/>
    <mergeCell ref="AA39:AB39"/>
    <mergeCell ref="AA46:AB46"/>
    <mergeCell ref="AA58:AB58"/>
    <mergeCell ref="F1:M4"/>
    <mergeCell ref="A8:H8"/>
    <mergeCell ref="Z8:AA8"/>
    <mergeCell ref="S8:Y8"/>
    <mergeCell ref="AA18:AB1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41D2-CF4E-4E69-8F6D-FB28100AEA2A}">
  <dimension ref="A1:A13"/>
  <sheetViews>
    <sheetView workbookViewId="0">
      <selection activeCell="A2" sqref="A2"/>
    </sheetView>
  </sheetViews>
  <sheetFormatPr defaultRowHeight="15"/>
  <cols>
    <col min="1" max="1" width="30" bestFit="1" customWidth="1"/>
  </cols>
  <sheetData>
    <row r="1" spans="1:1">
      <c r="A1" s="36" t="s">
        <v>702</v>
      </c>
    </row>
    <row r="2" spans="1:1">
      <c r="A2" s="40" t="s">
        <v>42</v>
      </c>
    </row>
    <row r="3" spans="1:1">
      <c r="A3" s="4"/>
    </row>
    <row r="4" spans="1:1">
      <c r="A4" s="4"/>
    </row>
    <row r="5" spans="1:1">
      <c r="A5" s="4"/>
    </row>
    <row r="6" spans="1:1">
      <c r="A6" s="4"/>
    </row>
    <row r="7" spans="1:1">
      <c r="A7" s="4"/>
    </row>
    <row r="8" spans="1:1">
      <c r="A8" s="4"/>
    </row>
    <row r="9" spans="1:1">
      <c r="A9" s="4"/>
    </row>
    <row r="10" spans="1:1">
      <c r="A10" s="4"/>
    </row>
    <row r="11" spans="1:1">
      <c r="A11" s="4"/>
    </row>
    <row r="12" spans="1:1">
      <c r="A12" s="4"/>
    </row>
    <row r="13" spans="1:1">
      <c r="A1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5F5E-09A9-4D45-98B6-473C23F1D634}">
  <dimension ref="A1"/>
  <sheetViews>
    <sheetView workbookViewId="0"/>
  </sheetViews>
  <sheetFormatPr defaultRowHeight="15"/>
  <cols>
    <col min="1" max="1" width="67.7109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A5"/>
  <sheetViews>
    <sheetView workbookViewId="0">
      <selection activeCell="A6" sqref="A6"/>
    </sheetView>
  </sheetViews>
  <sheetFormatPr defaultRowHeight="15"/>
  <cols>
    <col min="1" max="1" width="39.7109375" bestFit="1" customWidth="1"/>
  </cols>
  <sheetData>
    <row r="1" spans="1:1">
      <c r="A1" s="17" t="s">
        <v>0</v>
      </c>
    </row>
    <row r="2" spans="1:1">
      <c r="A2" s="17" t="s">
        <v>703</v>
      </c>
    </row>
    <row r="3" spans="1:1">
      <c r="A3" s="17" t="s">
        <v>704</v>
      </c>
    </row>
    <row r="4" spans="1:1">
      <c r="A4" s="17" t="s">
        <v>705</v>
      </c>
    </row>
    <row r="5" spans="1:1">
      <c r="A5" s="18" t="s">
        <v>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40B8-EF78-4766-9060-74B30AC34ED0}">
  <dimension ref="A1:J109"/>
  <sheetViews>
    <sheetView workbookViewId="0"/>
  </sheetViews>
  <sheetFormatPr defaultRowHeight="15"/>
  <cols>
    <col min="1" max="1" width="36.42578125" customWidth="1"/>
    <col min="2" max="2" width="37.140625" customWidth="1"/>
    <col min="3" max="3" width="63.140625" customWidth="1"/>
    <col min="4" max="4" width="24.7109375" customWidth="1"/>
    <col min="5" max="5" width="43.140625" customWidth="1"/>
  </cols>
  <sheetData>
    <row r="1" spans="1:10" ht="15.75">
      <c r="A1" s="53" t="s">
        <v>707</v>
      </c>
      <c r="B1" s="53" t="s">
        <v>708</v>
      </c>
      <c r="C1" s="53" t="s">
        <v>709</v>
      </c>
      <c r="D1" s="53" t="s">
        <v>710</v>
      </c>
      <c r="E1" s="53" t="s">
        <v>711</v>
      </c>
      <c r="F1" s="53" t="s">
        <v>712</v>
      </c>
      <c r="G1" s="53" t="s">
        <v>713</v>
      </c>
      <c r="H1" s="53" t="s">
        <v>714</v>
      </c>
    </row>
    <row r="2" spans="1:10">
      <c r="A2" s="51"/>
      <c r="B2" s="51"/>
      <c r="C2" s="51"/>
      <c r="D2" s="51"/>
      <c r="E2" s="52"/>
      <c r="F2" s="51"/>
      <c r="G2" s="51"/>
      <c r="H2" s="51"/>
      <c r="I2" s="51"/>
      <c r="J2" s="51"/>
    </row>
    <row r="3" spans="1:10">
      <c r="A3" s="51"/>
      <c r="B3" s="51"/>
      <c r="C3" s="51"/>
      <c r="D3" s="51"/>
      <c r="E3" s="52"/>
      <c r="F3" s="51"/>
      <c r="G3" s="51"/>
      <c r="H3" s="51"/>
      <c r="I3" s="51"/>
      <c r="J3" s="51"/>
    </row>
    <row r="4" spans="1:10">
      <c r="A4" s="51"/>
      <c r="B4" s="51"/>
      <c r="C4" s="51"/>
      <c r="D4" s="51"/>
      <c r="E4" s="52"/>
      <c r="F4" s="51"/>
      <c r="G4" s="51"/>
      <c r="H4" s="51"/>
      <c r="I4" s="51"/>
      <c r="J4" s="51"/>
    </row>
    <row r="5" spans="1:10">
      <c r="A5" s="51"/>
      <c r="B5" s="51"/>
      <c r="C5" s="51"/>
      <c r="D5" s="51"/>
      <c r="E5" s="52"/>
      <c r="F5" s="51"/>
      <c r="G5" s="51"/>
      <c r="H5" s="51"/>
      <c r="I5" s="51"/>
      <c r="J5" s="51"/>
    </row>
    <row r="6" spans="1:10">
      <c r="A6" s="51"/>
      <c r="B6" s="51"/>
      <c r="C6" s="51"/>
      <c r="D6" s="51"/>
      <c r="E6" s="52"/>
      <c r="F6" s="51"/>
      <c r="G6" s="51"/>
      <c r="H6" s="51"/>
      <c r="I6" s="51"/>
      <c r="J6" s="51"/>
    </row>
    <row r="7" spans="1:10">
      <c r="A7" s="51"/>
      <c r="B7" s="51"/>
      <c r="C7" s="51"/>
      <c r="D7" s="51"/>
      <c r="E7" s="52"/>
      <c r="F7" s="51"/>
      <c r="G7" s="51"/>
      <c r="H7" s="51"/>
      <c r="I7" s="51"/>
      <c r="J7" s="51"/>
    </row>
    <row r="8" spans="1:10">
      <c r="A8" s="51"/>
      <c r="B8" s="51"/>
      <c r="C8" s="51"/>
      <c r="D8" s="51"/>
      <c r="E8" s="52"/>
      <c r="F8" s="51"/>
      <c r="G8" s="51"/>
      <c r="H8" s="51"/>
      <c r="I8" s="51"/>
      <c r="J8" s="51"/>
    </row>
    <row r="9" spans="1:10">
      <c r="A9" s="51"/>
      <c r="B9" s="51"/>
      <c r="C9" s="51"/>
      <c r="D9" s="51"/>
      <c r="E9" s="52"/>
      <c r="F9" s="51"/>
      <c r="G9" s="51"/>
      <c r="H9" s="51"/>
      <c r="I9" s="51"/>
      <c r="J9" s="51"/>
    </row>
    <row r="10" spans="1:10">
      <c r="A10" s="51"/>
      <c r="B10" s="51"/>
      <c r="C10" s="51"/>
      <c r="D10" s="51"/>
      <c r="E10" s="52"/>
      <c r="F10" s="51"/>
      <c r="G10" s="51"/>
      <c r="H10" s="51"/>
      <c r="I10" s="51"/>
      <c r="J10" s="51"/>
    </row>
    <row r="11" spans="1:10">
      <c r="A11" s="51"/>
      <c r="B11" s="51"/>
      <c r="C11" s="51"/>
      <c r="D11" s="51"/>
      <c r="E11" s="51"/>
      <c r="F11" s="51"/>
      <c r="G11" s="51"/>
      <c r="H11" s="51"/>
      <c r="I11" s="51"/>
      <c r="J11" s="51"/>
    </row>
    <row r="12" spans="1:10">
      <c r="A12" s="51"/>
      <c r="B12" s="51"/>
      <c r="C12" s="51"/>
      <c r="D12" s="51"/>
      <c r="E12" s="51"/>
      <c r="F12" s="51"/>
      <c r="G12" s="51"/>
      <c r="H12" s="51"/>
      <c r="I12" s="51"/>
      <c r="J12" s="51"/>
    </row>
    <row r="13" spans="1:10">
      <c r="A13" s="51"/>
      <c r="B13" s="51"/>
      <c r="C13" s="51"/>
      <c r="D13" s="51"/>
      <c r="E13" s="51"/>
      <c r="F13" s="51"/>
      <c r="G13" s="51"/>
      <c r="H13" s="51"/>
      <c r="I13" s="51"/>
      <c r="J13" s="51"/>
    </row>
    <row r="14" spans="1:10">
      <c r="A14" s="51"/>
      <c r="B14" s="51"/>
      <c r="C14" s="51"/>
      <c r="D14" s="51"/>
      <c r="E14" s="51"/>
      <c r="F14" s="51"/>
      <c r="G14" s="51"/>
      <c r="H14" s="51"/>
      <c r="I14" s="51"/>
      <c r="J14" s="51"/>
    </row>
    <row r="15" spans="1:10">
      <c r="A15" s="51"/>
      <c r="B15" s="51"/>
      <c r="C15" s="51"/>
      <c r="D15" s="51"/>
      <c r="E15" s="52"/>
      <c r="F15" s="51"/>
      <c r="G15" s="51"/>
      <c r="H15" s="51"/>
      <c r="I15" s="51"/>
      <c r="J15" s="51"/>
    </row>
    <row r="16" spans="1:10">
      <c r="A16" s="51"/>
      <c r="B16" s="51"/>
      <c r="C16" s="51"/>
      <c r="D16" s="51"/>
      <c r="E16" s="52"/>
      <c r="F16" s="51"/>
      <c r="G16" s="51"/>
      <c r="H16" s="51"/>
      <c r="I16" s="51"/>
      <c r="J16" s="51"/>
    </row>
    <row r="17" spans="1:10">
      <c r="A17" s="51"/>
      <c r="B17" s="51"/>
      <c r="C17" s="51"/>
      <c r="D17" s="51"/>
      <c r="E17" s="52"/>
      <c r="F17" s="51"/>
      <c r="G17" s="51"/>
      <c r="H17" s="51"/>
      <c r="I17" s="51"/>
      <c r="J17" s="51"/>
    </row>
    <row r="18" spans="1:10">
      <c r="A18" s="51"/>
      <c r="B18" s="51"/>
      <c r="C18" s="51"/>
      <c r="D18" s="51"/>
      <c r="E18" s="52"/>
      <c r="F18" s="51"/>
      <c r="G18" s="51"/>
      <c r="H18" s="51"/>
      <c r="I18" s="51"/>
      <c r="J18" s="51"/>
    </row>
    <row r="19" spans="1:10">
      <c r="A19" s="51"/>
      <c r="B19" s="51"/>
      <c r="C19" s="51"/>
      <c r="D19" s="51"/>
      <c r="E19" s="52"/>
      <c r="F19" s="51"/>
      <c r="G19" s="51"/>
      <c r="H19" s="51"/>
      <c r="I19" s="51"/>
      <c r="J19" s="51"/>
    </row>
    <row r="20" spans="1:10">
      <c r="A20" s="51"/>
      <c r="B20" s="51"/>
      <c r="C20" s="51"/>
      <c r="D20" s="51"/>
      <c r="E20" s="52"/>
      <c r="F20" s="51"/>
      <c r="G20" s="51"/>
      <c r="H20" s="51"/>
      <c r="I20" s="51"/>
      <c r="J20" s="51"/>
    </row>
    <row r="21" spans="1:10">
      <c r="A21" s="51"/>
      <c r="B21" s="51"/>
      <c r="C21" s="51"/>
      <c r="D21" s="51"/>
      <c r="E21" s="52"/>
      <c r="F21" s="51"/>
      <c r="G21" s="51"/>
      <c r="H21" s="51"/>
      <c r="I21" s="51"/>
      <c r="J21" s="51"/>
    </row>
    <row r="22" spans="1:10">
      <c r="A22" s="51"/>
      <c r="B22" s="51"/>
      <c r="C22" s="51"/>
      <c r="D22" s="51"/>
      <c r="E22" s="52"/>
      <c r="F22" s="51"/>
      <c r="G22" s="51"/>
      <c r="H22" s="51"/>
      <c r="I22" s="51"/>
      <c r="J22" s="51"/>
    </row>
    <row r="23" spans="1:10">
      <c r="A23" s="51"/>
      <c r="B23" s="51"/>
      <c r="C23" s="51"/>
      <c r="D23" s="51"/>
      <c r="E23" s="51"/>
      <c r="F23" s="51"/>
      <c r="G23" s="51"/>
      <c r="H23" s="51"/>
      <c r="I23" s="51"/>
      <c r="J23" s="51"/>
    </row>
    <row r="24" spans="1:10">
      <c r="A24" s="51"/>
      <c r="B24" s="51"/>
      <c r="C24" s="51"/>
      <c r="D24" s="51"/>
      <c r="E24" s="52"/>
      <c r="F24" s="51"/>
      <c r="G24" s="51"/>
      <c r="H24" s="51"/>
      <c r="I24" s="51"/>
      <c r="J24" s="51"/>
    </row>
    <row r="25" spans="1:10">
      <c r="A25" s="51"/>
      <c r="B25" s="51"/>
      <c r="C25" s="51"/>
      <c r="D25" s="51"/>
      <c r="E25" s="51"/>
      <c r="F25" s="51"/>
      <c r="G25" s="51"/>
      <c r="H25" s="51"/>
      <c r="I25" s="51"/>
      <c r="J25" s="51"/>
    </row>
    <row r="26" spans="1:10">
      <c r="A26" s="51"/>
      <c r="B26" s="51"/>
      <c r="C26" s="51"/>
      <c r="D26" s="51"/>
      <c r="E26" s="52"/>
      <c r="F26" s="51"/>
      <c r="G26" s="51"/>
      <c r="H26" s="51"/>
      <c r="I26" s="51"/>
      <c r="J26" s="51"/>
    </row>
    <row r="27" spans="1:10">
      <c r="A27" s="51"/>
      <c r="B27" s="51"/>
      <c r="C27" s="51"/>
      <c r="D27" s="51"/>
      <c r="E27" s="51"/>
      <c r="F27" s="51"/>
      <c r="G27" s="51"/>
      <c r="H27" s="51"/>
      <c r="I27" s="51"/>
      <c r="J27" s="51"/>
    </row>
    <row r="28" spans="1:10">
      <c r="A28" s="51"/>
      <c r="B28" s="51"/>
      <c r="C28" s="51"/>
      <c r="D28" s="51"/>
      <c r="E28" s="52"/>
      <c r="F28" s="51"/>
      <c r="G28" s="51"/>
      <c r="H28" s="51"/>
      <c r="I28" s="51"/>
      <c r="J28" s="51"/>
    </row>
    <row r="29" spans="1:10">
      <c r="A29" s="51"/>
      <c r="B29" s="51"/>
      <c r="C29" s="51"/>
      <c r="D29" s="51"/>
      <c r="E29" s="52"/>
      <c r="F29" s="51"/>
      <c r="G29" s="51"/>
      <c r="H29" s="51"/>
      <c r="I29" s="51"/>
      <c r="J29" s="51"/>
    </row>
    <row r="30" spans="1:10">
      <c r="A30" s="51"/>
      <c r="B30" s="51"/>
      <c r="C30" s="51"/>
      <c r="D30" s="51"/>
      <c r="E30" s="52"/>
      <c r="F30" s="51"/>
      <c r="G30" s="51"/>
      <c r="H30" s="51"/>
      <c r="I30" s="51"/>
      <c r="J30" s="51"/>
    </row>
    <row r="31" spans="1:10">
      <c r="A31" s="51"/>
      <c r="B31" s="51"/>
      <c r="C31" s="51"/>
      <c r="D31" s="51"/>
      <c r="E31" s="51"/>
      <c r="F31" s="51"/>
      <c r="G31" s="51"/>
      <c r="H31" s="51"/>
      <c r="I31" s="51"/>
      <c r="J31" s="51"/>
    </row>
    <row r="32" spans="1:10">
      <c r="A32" s="51"/>
      <c r="B32" s="51"/>
      <c r="C32" s="51"/>
      <c r="D32" s="51"/>
      <c r="E32" s="51"/>
      <c r="F32" s="51"/>
      <c r="G32" s="51"/>
      <c r="H32" s="51"/>
      <c r="I32" s="51"/>
      <c r="J32" s="51"/>
    </row>
    <row r="33" spans="1:10">
      <c r="A33" s="51"/>
      <c r="B33" s="51"/>
      <c r="C33" s="51"/>
      <c r="D33" s="51"/>
      <c r="E33" s="52"/>
      <c r="F33" s="51"/>
      <c r="G33" s="51"/>
      <c r="H33" s="51"/>
      <c r="I33" s="51"/>
      <c r="J33" s="51"/>
    </row>
    <row r="34" spans="1:10">
      <c r="A34" s="51"/>
      <c r="B34" s="51"/>
      <c r="C34" s="51"/>
      <c r="D34" s="51"/>
      <c r="E34" s="52"/>
      <c r="F34" s="51"/>
      <c r="G34" s="51"/>
      <c r="H34" s="51"/>
      <c r="I34" s="51"/>
      <c r="J34" s="51"/>
    </row>
    <row r="35" spans="1:10">
      <c r="A35" s="51"/>
      <c r="B35" s="51"/>
      <c r="C35" s="51"/>
      <c r="D35" s="51"/>
      <c r="E35" s="52"/>
      <c r="F35" s="51"/>
      <c r="G35" s="51"/>
      <c r="H35" s="51"/>
      <c r="I35" s="51"/>
      <c r="J35" s="51"/>
    </row>
    <row r="36" spans="1:10">
      <c r="A36" s="51"/>
      <c r="B36" s="51"/>
      <c r="C36" s="51"/>
      <c r="D36" s="51"/>
      <c r="E36" s="52"/>
      <c r="F36" s="51"/>
      <c r="G36" s="51"/>
      <c r="H36" s="51"/>
      <c r="I36" s="51"/>
      <c r="J36" s="51"/>
    </row>
    <row r="37" spans="1:10">
      <c r="A37" s="51"/>
      <c r="B37" s="51"/>
      <c r="C37" s="51"/>
      <c r="D37" s="51"/>
      <c r="E37" s="52"/>
      <c r="F37" s="51"/>
      <c r="G37" s="51"/>
      <c r="H37" s="51"/>
      <c r="I37" s="51"/>
      <c r="J37" s="51"/>
    </row>
    <row r="38" spans="1:10">
      <c r="A38" s="51"/>
      <c r="B38" s="51"/>
      <c r="C38" s="51"/>
      <c r="D38" s="51"/>
      <c r="E38" s="52"/>
      <c r="F38" s="51"/>
      <c r="G38" s="51"/>
      <c r="H38" s="51"/>
      <c r="I38" s="51"/>
      <c r="J38" s="51"/>
    </row>
    <row r="39" spans="1:10">
      <c r="A39" s="51"/>
      <c r="B39" s="51"/>
      <c r="C39" s="51"/>
      <c r="D39" s="51"/>
      <c r="E39" s="52"/>
      <c r="F39" s="51"/>
      <c r="G39" s="51"/>
      <c r="H39" s="51"/>
      <c r="I39" s="51"/>
      <c r="J39" s="51"/>
    </row>
    <row r="40" spans="1:10">
      <c r="A40" s="51"/>
      <c r="B40" s="51"/>
      <c r="C40" s="51"/>
      <c r="D40" s="51"/>
      <c r="E40" s="52"/>
      <c r="F40" s="51"/>
      <c r="G40" s="51"/>
      <c r="H40" s="51"/>
      <c r="I40" s="51"/>
      <c r="J40" s="51"/>
    </row>
    <row r="41" spans="1:10">
      <c r="A41" s="51"/>
      <c r="B41" s="51"/>
      <c r="C41" s="51"/>
      <c r="D41" s="51"/>
      <c r="E41" s="52"/>
      <c r="F41" s="51"/>
      <c r="G41" s="51"/>
      <c r="H41" s="51"/>
      <c r="I41" s="51"/>
      <c r="J41" s="51"/>
    </row>
    <row r="42" spans="1:10">
      <c r="A42" s="51"/>
      <c r="B42" s="51"/>
      <c r="C42" s="51"/>
      <c r="D42" s="51"/>
      <c r="E42" s="52"/>
      <c r="F42" s="51"/>
      <c r="G42" s="51"/>
      <c r="H42" s="51"/>
      <c r="I42" s="51"/>
      <c r="J42" s="51"/>
    </row>
    <row r="43" spans="1:10">
      <c r="A43" s="51"/>
      <c r="B43" s="51"/>
      <c r="C43" s="51"/>
      <c r="D43" s="51"/>
      <c r="E43" s="52"/>
      <c r="F43" s="51"/>
      <c r="G43" s="51"/>
      <c r="H43" s="51"/>
      <c r="I43" s="51"/>
      <c r="J43" s="51"/>
    </row>
    <row r="44" spans="1:10">
      <c r="A44" s="51"/>
      <c r="B44" s="51"/>
      <c r="C44" s="51"/>
      <c r="D44" s="51"/>
      <c r="E44" s="52"/>
      <c r="F44" s="51"/>
      <c r="G44" s="51"/>
      <c r="H44" s="51"/>
      <c r="I44" s="51"/>
      <c r="J44" s="51"/>
    </row>
    <row r="45" spans="1:10">
      <c r="A45" s="51"/>
      <c r="B45" s="51"/>
      <c r="C45" s="51"/>
      <c r="D45" s="51"/>
      <c r="E45" s="52"/>
      <c r="F45" s="51"/>
      <c r="G45" s="51"/>
      <c r="H45" s="51"/>
      <c r="I45" s="51"/>
      <c r="J45" s="51"/>
    </row>
    <row r="46" spans="1:10">
      <c r="A46" s="51"/>
      <c r="B46" s="51"/>
      <c r="C46" s="51"/>
      <c r="D46" s="51"/>
      <c r="E46" s="51"/>
      <c r="F46" s="51"/>
      <c r="G46" s="51"/>
      <c r="H46" s="51"/>
      <c r="I46" s="51"/>
      <c r="J46" s="51"/>
    </row>
    <row r="47" spans="1:10">
      <c r="A47" s="51"/>
      <c r="B47" s="51"/>
      <c r="C47" s="51"/>
      <c r="D47" s="51"/>
      <c r="E47" s="51"/>
      <c r="F47" s="51"/>
      <c r="G47" s="51"/>
      <c r="H47" s="51"/>
      <c r="I47" s="51"/>
      <c r="J47" s="51"/>
    </row>
    <row r="48" spans="1:10">
      <c r="A48" s="51"/>
      <c r="B48" s="51"/>
      <c r="C48" s="51"/>
      <c r="D48" s="51"/>
      <c r="E48" s="51"/>
      <c r="F48" s="51"/>
      <c r="G48" s="51"/>
      <c r="H48" s="51"/>
      <c r="I48" s="51"/>
      <c r="J48" s="51"/>
    </row>
    <row r="49" spans="1:10">
      <c r="A49" s="51"/>
      <c r="B49" s="51"/>
      <c r="C49" s="51"/>
      <c r="D49" s="51"/>
      <c r="E49" s="52"/>
      <c r="F49" s="51"/>
      <c r="G49" s="51"/>
      <c r="H49" s="51"/>
      <c r="I49" s="51"/>
      <c r="J49" s="51"/>
    </row>
    <row r="50" spans="1:10">
      <c r="A50" s="51"/>
      <c r="B50" s="51"/>
      <c r="C50" s="51"/>
      <c r="D50" s="51"/>
      <c r="E50" s="52"/>
      <c r="F50" s="51"/>
      <c r="G50" s="51"/>
      <c r="H50" s="51"/>
      <c r="I50" s="51"/>
      <c r="J50" s="51"/>
    </row>
    <row r="51" spans="1:10">
      <c r="A51" s="51"/>
      <c r="B51" s="51"/>
      <c r="C51" s="51"/>
      <c r="D51" s="51"/>
      <c r="E51" s="52"/>
      <c r="F51" s="51"/>
      <c r="G51" s="51"/>
      <c r="H51" s="51"/>
      <c r="I51" s="51"/>
      <c r="J51" s="51"/>
    </row>
    <row r="52" spans="1:10">
      <c r="A52" s="51"/>
      <c r="B52" s="51"/>
      <c r="C52" s="51"/>
      <c r="D52" s="51"/>
      <c r="E52" s="51"/>
      <c r="F52" s="51"/>
      <c r="G52" s="51"/>
      <c r="H52" s="51"/>
      <c r="I52" s="51"/>
      <c r="J52" s="51"/>
    </row>
    <row r="53" spans="1:10">
      <c r="A53" s="51"/>
      <c r="B53" s="51"/>
      <c r="C53" s="51"/>
      <c r="D53" s="51"/>
      <c r="E53" s="52"/>
      <c r="F53" s="51"/>
      <c r="G53" s="51"/>
      <c r="H53" s="51"/>
      <c r="I53" s="51"/>
      <c r="J53" s="51"/>
    </row>
    <row r="54" spans="1:10">
      <c r="A54" s="51"/>
      <c r="B54" s="51"/>
      <c r="C54" s="51"/>
      <c r="D54" s="51"/>
      <c r="E54" s="51"/>
      <c r="F54" s="51"/>
      <c r="G54" s="51"/>
      <c r="H54" s="51"/>
      <c r="I54" s="51"/>
      <c r="J54" s="51"/>
    </row>
    <row r="55" spans="1:10">
      <c r="A55" s="51"/>
      <c r="B55" s="51"/>
      <c r="C55" s="51"/>
      <c r="D55" s="51"/>
      <c r="E55" s="52"/>
      <c r="F55" s="51"/>
      <c r="G55" s="51"/>
      <c r="H55" s="51"/>
      <c r="I55" s="51"/>
      <c r="J55" s="51"/>
    </row>
    <row r="56" spans="1:10">
      <c r="A56" s="51"/>
      <c r="B56" s="51"/>
      <c r="C56" s="51"/>
      <c r="D56" s="51"/>
      <c r="E56" s="52"/>
      <c r="F56" s="51"/>
      <c r="G56" s="51"/>
      <c r="H56" s="51"/>
      <c r="I56" s="51"/>
      <c r="J56" s="51"/>
    </row>
    <row r="57" spans="1:10">
      <c r="A57" s="51"/>
      <c r="B57" s="51"/>
      <c r="C57" s="51"/>
      <c r="D57" s="51"/>
      <c r="E57" s="52"/>
      <c r="F57" s="51"/>
      <c r="G57" s="51"/>
      <c r="H57" s="51"/>
      <c r="I57" s="51"/>
      <c r="J57" s="51"/>
    </row>
    <row r="58" spans="1:10">
      <c r="A58" s="51"/>
      <c r="B58" s="51"/>
      <c r="C58" s="51"/>
      <c r="D58" s="51"/>
      <c r="E58" s="51"/>
      <c r="F58" s="51"/>
      <c r="G58" s="51"/>
      <c r="H58" s="51"/>
      <c r="I58" s="51"/>
      <c r="J58" s="51"/>
    </row>
    <row r="59" spans="1:10">
      <c r="A59" s="51"/>
      <c r="B59" s="51"/>
      <c r="C59" s="51"/>
      <c r="D59" s="51"/>
      <c r="E59" s="52"/>
      <c r="F59" s="51"/>
      <c r="G59" s="51"/>
      <c r="H59" s="51"/>
      <c r="I59" s="51"/>
      <c r="J59" s="51"/>
    </row>
    <row r="60" spans="1:10">
      <c r="A60" s="51"/>
      <c r="B60" s="51"/>
      <c r="C60" s="51"/>
      <c r="D60" s="51"/>
      <c r="E60" s="52"/>
      <c r="F60" s="51"/>
      <c r="G60" s="51"/>
      <c r="H60" s="51"/>
      <c r="I60" s="51"/>
      <c r="J60" s="51"/>
    </row>
    <row r="61" spans="1:10">
      <c r="A61" s="51"/>
      <c r="B61" s="51"/>
      <c r="C61" s="51"/>
      <c r="D61" s="51"/>
      <c r="E61" s="52"/>
      <c r="F61" s="51"/>
      <c r="G61" s="51"/>
      <c r="H61" s="51"/>
      <c r="I61" s="51"/>
      <c r="J61" s="51"/>
    </row>
    <row r="62" spans="1:10">
      <c r="A62" s="51"/>
      <c r="B62" s="51"/>
      <c r="C62" s="51"/>
      <c r="D62" s="51"/>
      <c r="E62" s="52"/>
      <c r="F62" s="51"/>
      <c r="G62" s="51"/>
      <c r="H62" s="51"/>
      <c r="I62" s="51"/>
      <c r="J62" s="51"/>
    </row>
    <row r="63" spans="1:10">
      <c r="A63" s="51"/>
      <c r="B63" s="51"/>
      <c r="C63" s="51"/>
      <c r="D63" s="51"/>
      <c r="E63" s="51"/>
      <c r="F63" s="51"/>
      <c r="G63" s="51"/>
      <c r="H63" s="51"/>
      <c r="I63" s="51"/>
      <c r="J63" s="51"/>
    </row>
    <row r="64" spans="1:10">
      <c r="A64" s="51"/>
      <c r="B64" s="51"/>
      <c r="C64" s="51"/>
      <c r="D64" s="51"/>
      <c r="E64" s="52"/>
      <c r="F64" s="51"/>
      <c r="G64" s="51"/>
      <c r="H64" s="51"/>
      <c r="I64" s="51"/>
      <c r="J64" s="51"/>
    </row>
    <row r="65" spans="1:10">
      <c r="A65" s="51"/>
      <c r="B65" s="51"/>
      <c r="C65" s="51"/>
      <c r="D65" s="51"/>
      <c r="E65" s="52"/>
      <c r="F65" s="51"/>
      <c r="G65" s="51"/>
      <c r="H65" s="51"/>
      <c r="I65" s="51"/>
      <c r="J65" s="51"/>
    </row>
    <row r="66" spans="1:10">
      <c r="A66" s="51"/>
      <c r="B66" s="51"/>
      <c r="C66" s="51"/>
      <c r="D66" s="51"/>
      <c r="E66" s="52"/>
      <c r="F66" s="51"/>
      <c r="G66" s="51"/>
      <c r="H66" s="51"/>
      <c r="I66" s="51"/>
      <c r="J66" s="51"/>
    </row>
    <row r="67" spans="1:10">
      <c r="A67" s="51"/>
      <c r="B67" s="51"/>
      <c r="C67" s="51"/>
      <c r="D67" s="51"/>
      <c r="E67" s="52"/>
      <c r="F67" s="51"/>
      <c r="G67" s="51"/>
      <c r="H67" s="51"/>
      <c r="I67" s="51"/>
      <c r="J67" s="51"/>
    </row>
    <row r="68" spans="1:10">
      <c r="A68" s="51"/>
      <c r="B68" s="51"/>
      <c r="C68" s="51"/>
      <c r="D68" s="51"/>
      <c r="E68" s="51"/>
      <c r="F68" s="51"/>
      <c r="G68" s="51"/>
      <c r="H68" s="51"/>
      <c r="I68" s="51"/>
      <c r="J68" s="51"/>
    </row>
    <row r="69" spans="1:10">
      <c r="A69" s="51"/>
      <c r="B69" s="51"/>
      <c r="C69" s="51"/>
      <c r="D69" s="51"/>
      <c r="E69" s="52"/>
      <c r="F69" s="51"/>
      <c r="G69" s="51"/>
      <c r="H69" s="51"/>
      <c r="I69" s="51"/>
      <c r="J69" s="51"/>
    </row>
    <row r="70" spans="1:10">
      <c r="A70" s="51"/>
      <c r="B70" s="51"/>
      <c r="C70" s="51"/>
      <c r="D70" s="51"/>
      <c r="E70" s="52"/>
      <c r="F70" s="51"/>
      <c r="G70" s="51"/>
      <c r="H70" s="51"/>
      <c r="I70" s="51"/>
      <c r="J70" s="51"/>
    </row>
    <row r="71" spans="1:10">
      <c r="A71" s="51"/>
      <c r="B71" s="51"/>
      <c r="C71" s="51"/>
      <c r="D71" s="51"/>
      <c r="E71" s="51"/>
      <c r="F71" s="51"/>
      <c r="G71" s="51"/>
      <c r="H71" s="51"/>
      <c r="I71" s="51"/>
      <c r="J71" s="51"/>
    </row>
    <row r="72" spans="1:10">
      <c r="A72" s="51"/>
      <c r="B72" s="51"/>
      <c r="C72" s="51"/>
      <c r="D72" s="51"/>
      <c r="E72" s="52"/>
      <c r="F72" s="51"/>
      <c r="G72" s="51"/>
      <c r="H72" s="51"/>
      <c r="I72" s="51"/>
      <c r="J72" s="51"/>
    </row>
    <row r="73" spans="1:10">
      <c r="A73" s="51"/>
      <c r="B73" s="51"/>
      <c r="C73" s="51"/>
      <c r="D73" s="51"/>
      <c r="E73" s="52"/>
      <c r="F73" s="51"/>
      <c r="G73" s="51"/>
      <c r="H73" s="51"/>
      <c r="I73" s="51"/>
      <c r="J73" s="51"/>
    </row>
    <row r="74" spans="1:10">
      <c r="A74" s="51"/>
      <c r="B74" s="51"/>
      <c r="C74" s="51"/>
      <c r="D74" s="51"/>
      <c r="E74" s="52"/>
      <c r="F74" s="51"/>
      <c r="G74" s="51"/>
      <c r="H74" s="51"/>
      <c r="I74" s="51"/>
      <c r="J74" s="51"/>
    </row>
    <row r="75" spans="1:10">
      <c r="A75" s="51"/>
      <c r="B75" s="51"/>
      <c r="C75" s="51"/>
      <c r="D75" s="51"/>
      <c r="E75" s="52"/>
      <c r="F75" s="51"/>
      <c r="G75" s="51"/>
      <c r="H75" s="51"/>
      <c r="I75" s="51"/>
      <c r="J75" s="51"/>
    </row>
    <row r="76" spans="1:10">
      <c r="A76" s="51"/>
      <c r="B76" s="51"/>
      <c r="C76" s="51"/>
      <c r="D76" s="51"/>
      <c r="E76" s="52"/>
      <c r="F76" s="51"/>
      <c r="G76" s="51"/>
      <c r="H76" s="51"/>
      <c r="I76" s="51"/>
      <c r="J76" s="51"/>
    </row>
    <row r="77" spans="1:10">
      <c r="A77" s="51"/>
      <c r="B77" s="51"/>
      <c r="C77" s="51"/>
      <c r="D77" s="51"/>
      <c r="E77" s="51"/>
      <c r="F77" s="51"/>
      <c r="G77" s="51"/>
      <c r="H77" s="51"/>
      <c r="I77" s="51"/>
      <c r="J77" s="51"/>
    </row>
    <row r="78" spans="1:10">
      <c r="A78" s="51"/>
      <c r="B78" s="51"/>
      <c r="C78" s="51"/>
      <c r="D78" s="51"/>
      <c r="E78" s="52"/>
      <c r="F78" s="51"/>
      <c r="G78" s="51"/>
      <c r="H78" s="51"/>
      <c r="I78" s="51"/>
      <c r="J78" s="51"/>
    </row>
    <row r="79" spans="1:10">
      <c r="A79" s="51"/>
      <c r="B79" s="51"/>
      <c r="C79" s="51"/>
      <c r="D79" s="51"/>
      <c r="E79" s="52"/>
      <c r="F79" s="51"/>
      <c r="G79" s="51"/>
      <c r="H79" s="51"/>
      <c r="I79" s="51"/>
      <c r="J79" s="51"/>
    </row>
    <row r="80" spans="1:10">
      <c r="A80" s="51"/>
      <c r="B80" s="51"/>
      <c r="C80" s="51"/>
      <c r="D80" s="51"/>
      <c r="E80" s="52"/>
      <c r="F80" s="51"/>
      <c r="G80" s="51"/>
      <c r="H80" s="51"/>
      <c r="I80" s="51"/>
      <c r="J80" s="51"/>
    </row>
    <row r="81" spans="1:10">
      <c r="A81" s="51"/>
      <c r="B81" s="51"/>
      <c r="C81" s="51"/>
      <c r="D81" s="51"/>
      <c r="E81" s="51"/>
      <c r="F81" s="51"/>
      <c r="G81" s="51"/>
      <c r="H81" s="51"/>
      <c r="I81" s="51"/>
      <c r="J81" s="51"/>
    </row>
    <row r="82" spans="1:10">
      <c r="A82" s="51"/>
      <c r="B82" s="51"/>
      <c r="C82" s="51"/>
      <c r="D82" s="51"/>
      <c r="E82" s="52"/>
      <c r="F82" s="51"/>
      <c r="G82" s="51"/>
      <c r="H82" s="51"/>
      <c r="I82" s="51"/>
      <c r="J82" s="51"/>
    </row>
    <row r="83" spans="1:10">
      <c r="A83" s="51"/>
      <c r="B83" s="51"/>
      <c r="C83" s="51"/>
      <c r="D83" s="51"/>
      <c r="E83" s="52"/>
      <c r="F83" s="51"/>
      <c r="G83" s="51"/>
      <c r="H83" s="51"/>
      <c r="I83" s="51"/>
      <c r="J83" s="51"/>
    </row>
    <row r="84" spans="1:10">
      <c r="A84" s="51"/>
      <c r="B84" s="51"/>
      <c r="C84" s="51"/>
      <c r="D84" s="51"/>
      <c r="E84" s="52"/>
      <c r="F84" s="51"/>
      <c r="G84" s="51"/>
      <c r="H84" s="51"/>
      <c r="I84" s="51"/>
      <c r="J84" s="51"/>
    </row>
    <row r="85" spans="1:10">
      <c r="A85" s="51"/>
      <c r="B85" s="51"/>
      <c r="C85" s="51"/>
      <c r="D85" s="51"/>
      <c r="E85" s="52"/>
      <c r="F85" s="51"/>
      <c r="G85" s="51"/>
      <c r="H85" s="51"/>
      <c r="I85" s="51"/>
      <c r="J85" s="51"/>
    </row>
    <row r="86" spans="1:10">
      <c r="A86" s="51"/>
      <c r="B86" s="51"/>
      <c r="C86" s="51"/>
      <c r="D86" s="51"/>
      <c r="E86" s="52"/>
      <c r="F86" s="51"/>
      <c r="G86" s="51"/>
      <c r="H86" s="51"/>
      <c r="I86" s="51"/>
      <c r="J86" s="51"/>
    </row>
    <row r="87" spans="1:10">
      <c r="A87" s="51"/>
      <c r="B87" s="51"/>
      <c r="C87" s="51"/>
      <c r="D87" s="51"/>
      <c r="E87" s="52"/>
      <c r="F87" s="51"/>
      <c r="G87" s="51"/>
      <c r="H87" s="51"/>
      <c r="I87" s="51"/>
      <c r="J87" s="51"/>
    </row>
    <row r="88" spans="1:10">
      <c r="A88" s="51"/>
      <c r="B88" s="51"/>
      <c r="C88" s="51"/>
      <c r="D88" s="51"/>
      <c r="E88" s="52"/>
      <c r="F88" s="51"/>
      <c r="G88" s="51"/>
      <c r="H88" s="51"/>
      <c r="I88" s="51"/>
      <c r="J88" s="51"/>
    </row>
    <row r="89" spans="1:10">
      <c r="A89" s="51"/>
      <c r="B89" s="51"/>
      <c r="C89" s="51"/>
      <c r="D89" s="51"/>
      <c r="E89" s="52"/>
      <c r="F89" s="51"/>
      <c r="G89" s="51"/>
      <c r="H89" s="51"/>
      <c r="I89" s="51"/>
      <c r="J89" s="51"/>
    </row>
    <row r="90" spans="1:10">
      <c r="A90" s="51"/>
      <c r="B90" s="51"/>
      <c r="C90" s="51"/>
      <c r="D90" s="51"/>
      <c r="E90" s="52"/>
      <c r="F90" s="51"/>
      <c r="G90" s="51"/>
      <c r="H90" s="51"/>
      <c r="I90" s="51"/>
      <c r="J90" s="51"/>
    </row>
    <row r="91" spans="1:10">
      <c r="A91" s="51"/>
      <c r="B91" s="51"/>
      <c r="C91" s="51"/>
      <c r="D91" s="51"/>
      <c r="E91" s="52"/>
      <c r="F91" s="51"/>
      <c r="G91" s="51"/>
      <c r="H91" s="51"/>
      <c r="I91" s="51"/>
      <c r="J91" s="51"/>
    </row>
    <row r="92" spans="1:10">
      <c r="A92" s="51"/>
      <c r="B92" s="51"/>
      <c r="C92" s="51"/>
      <c r="D92" s="51"/>
      <c r="E92" s="51"/>
      <c r="F92" s="51"/>
      <c r="G92" s="51"/>
      <c r="H92" s="51"/>
      <c r="I92" s="51"/>
      <c r="J92" s="51"/>
    </row>
    <row r="93" spans="1:10">
      <c r="A93" s="51"/>
      <c r="B93" s="51"/>
      <c r="C93" s="51"/>
      <c r="D93" s="51"/>
      <c r="E93" s="52"/>
      <c r="F93" s="51"/>
      <c r="G93" s="51"/>
      <c r="H93" s="51"/>
      <c r="I93" s="51"/>
      <c r="J93" s="51"/>
    </row>
    <row r="94" spans="1:10">
      <c r="A94" s="51"/>
      <c r="B94" s="51"/>
      <c r="C94" s="51"/>
      <c r="D94" s="51"/>
      <c r="E94" s="51"/>
      <c r="F94" s="51"/>
      <c r="G94" s="51"/>
      <c r="H94" s="51"/>
      <c r="I94" s="51"/>
      <c r="J94" s="51"/>
    </row>
    <row r="95" spans="1:10">
      <c r="A95" s="51"/>
      <c r="B95" s="51"/>
      <c r="C95" s="51"/>
      <c r="D95" s="51"/>
      <c r="E95" s="52"/>
      <c r="F95" s="51"/>
      <c r="G95" s="51"/>
      <c r="H95" s="51"/>
      <c r="I95" s="51"/>
      <c r="J95" s="51"/>
    </row>
    <row r="96" spans="1:10">
      <c r="A96" s="51"/>
      <c r="B96" s="51"/>
      <c r="C96" s="51"/>
      <c r="D96" s="51"/>
      <c r="E96" s="52"/>
      <c r="F96" s="51"/>
      <c r="G96" s="51"/>
      <c r="H96" s="51"/>
      <c r="I96" s="51"/>
      <c r="J96" s="51"/>
    </row>
    <row r="97" spans="1:10">
      <c r="A97" s="51"/>
      <c r="B97" s="51"/>
      <c r="C97" s="51"/>
      <c r="D97" s="51"/>
      <c r="E97" s="52"/>
      <c r="F97" s="51"/>
      <c r="G97" s="51"/>
      <c r="H97" s="51"/>
      <c r="I97" s="51"/>
      <c r="J97" s="51"/>
    </row>
    <row r="98" spans="1:10">
      <c r="A98" s="51"/>
      <c r="B98" s="51"/>
      <c r="C98" s="51"/>
      <c r="D98" s="51"/>
      <c r="E98" s="52"/>
      <c r="F98" s="51"/>
      <c r="G98" s="51"/>
      <c r="H98" s="51"/>
      <c r="I98" s="51"/>
      <c r="J98" s="51"/>
    </row>
    <row r="99" spans="1:10">
      <c r="A99" s="51"/>
      <c r="B99" s="51"/>
      <c r="C99" s="51"/>
      <c r="D99" s="51"/>
      <c r="E99" s="52"/>
      <c r="F99" s="51"/>
      <c r="G99" s="51"/>
      <c r="H99" s="51"/>
      <c r="I99" s="51"/>
      <c r="J99" s="51"/>
    </row>
    <row r="100" spans="1:10">
      <c r="A100" s="51"/>
      <c r="B100" s="51"/>
      <c r="C100" s="51"/>
      <c r="D100" s="51"/>
      <c r="E100" s="52"/>
      <c r="F100" s="51"/>
      <c r="G100" s="51"/>
      <c r="H100" s="51"/>
      <c r="I100" s="51"/>
      <c r="J100" s="51"/>
    </row>
    <row r="101" spans="1:10">
      <c r="A101" s="51"/>
      <c r="B101" s="51"/>
      <c r="C101" s="51"/>
      <c r="D101" s="51"/>
      <c r="E101" s="52"/>
      <c r="F101" s="51"/>
      <c r="G101" s="51"/>
      <c r="H101" s="51"/>
      <c r="I101" s="51"/>
      <c r="J101" s="51"/>
    </row>
    <row r="102" spans="1:10">
      <c r="A102" s="51"/>
      <c r="B102" s="51"/>
      <c r="C102" s="51"/>
      <c r="D102" s="51"/>
      <c r="E102" s="52"/>
      <c r="F102" s="51"/>
      <c r="G102" s="51"/>
      <c r="H102" s="51"/>
      <c r="I102" s="51"/>
      <c r="J102" s="51"/>
    </row>
    <row r="103" spans="1:10">
      <c r="A103" s="51"/>
      <c r="B103" s="51"/>
      <c r="C103" s="51"/>
      <c r="D103" s="51"/>
      <c r="E103" s="52"/>
      <c r="F103" s="51"/>
      <c r="G103" s="51"/>
      <c r="H103" s="51"/>
      <c r="I103" s="51"/>
      <c r="J103" s="51"/>
    </row>
    <row r="104" spans="1:10">
      <c r="A104" s="51"/>
      <c r="B104" s="51"/>
      <c r="C104" s="51"/>
      <c r="D104" s="51"/>
      <c r="E104" s="52"/>
      <c r="F104" s="51"/>
      <c r="G104" s="51"/>
      <c r="H104" s="51"/>
      <c r="I104" s="51"/>
      <c r="J104" s="51"/>
    </row>
    <row r="109" spans="1:10">
      <c r="C109" t="s">
        <v>715</v>
      </c>
    </row>
  </sheetData>
  <sortState xmlns:xlrd2="http://schemas.microsoft.com/office/spreadsheetml/2017/richdata2" ref="A2:J104">
    <sortCondition ref="C2:C104"/>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5B75-A1F2-489E-94F8-2E2D31B765CE}">
  <dimension ref="A1:G92"/>
  <sheetViews>
    <sheetView workbookViewId="0"/>
  </sheetViews>
  <sheetFormatPr defaultRowHeight="15"/>
  <cols>
    <col min="1" max="1" width="39.42578125" bestFit="1" customWidth="1"/>
    <col min="2" max="2" width="13.28515625" bestFit="1" customWidth="1"/>
    <col min="3" max="3" width="15.7109375" bestFit="1" customWidth="1"/>
    <col min="4" max="4" width="11.42578125" bestFit="1" customWidth="1"/>
    <col min="5" max="5" width="17" bestFit="1" customWidth="1"/>
    <col min="6" max="6" width="129.7109375" customWidth="1"/>
    <col min="7" max="7" width="14.28515625" bestFit="1" customWidth="1"/>
    <col min="8" max="8" width="16.7109375" bestFit="1" customWidth="1"/>
    <col min="9" max="9" width="12.5703125" bestFit="1" customWidth="1"/>
    <col min="10" max="10" width="10.28515625" bestFit="1" customWidth="1"/>
    <col min="11" max="11" width="12.28515625" bestFit="1" customWidth="1"/>
  </cols>
  <sheetData>
    <row r="1" spans="1:6">
      <c r="A1" t="s">
        <v>716</v>
      </c>
      <c r="B1" t="s">
        <v>717</v>
      </c>
      <c r="C1" t="s">
        <v>718</v>
      </c>
      <c r="D1" t="s">
        <v>719</v>
      </c>
      <c r="E1" t="s">
        <v>720</v>
      </c>
      <c r="F1" s="6" t="s">
        <v>721</v>
      </c>
    </row>
    <row r="2" spans="1:6">
      <c r="F2" s="6"/>
    </row>
    <row r="3" spans="1:6">
      <c r="F3" s="6"/>
    </row>
    <row r="4" spans="1:6">
      <c r="F4" s="6"/>
    </row>
    <row r="5" spans="1:6">
      <c r="F5" s="6"/>
    </row>
    <row r="6" spans="1:6">
      <c r="F6" s="6"/>
    </row>
    <row r="7" spans="1:6">
      <c r="F7" s="6"/>
    </row>
    <row r="8" spans="1:6">
      <c r="F8" s="6"/>
    </row>
    <row r="9" spans="1:6">
      <c r="F9" s="6"/>
    </row>
    <row r="10" spans="1:6">
      <c r="F10" s="6"/>
    </row>
    <row r="11" spans="1:6">
      <c r="F11" s="6"/>
    </row>
    <row r="12" spans="1:6">
      <c r="F12" s="6"/>
    </row>
    <row r="13" spans="1:6">
      <c r="F13" s="6"/>
    </row>
    <row r="14" spans="1:6">
      <c r="F14" s="6"/>
    </row>
    <row r="15" spans="1:6">
      <c r="F15" s="6"/>
    </row>
    <row r="16" spans="1:6">
      <c r="F16" s="6"/>
    </row>
    <row r="17" spans="6:6">
      <c r="F17" s="6"/>
    </row>
    <row r="18" spans="6:6">
      <c r="F18" s="6"/>
    </row>
    <row r="19" spans="6:6">
      <c r="F19" s="6"/>
    </row>
    <row r="20" spans="6:6">
      <c r="F20" s="6"/>
    </row>
    <row r="21" spans="6:6">
      <c r="F21" s="6"/>
    </row>
    <row r="22" spans="6:6">
      <c r="F22" s="6"/>
    </row>
    <row r="23" spans="6:6">
      <c r="F23" s="6"/>
    </row>
    <row r="24" spans="6:6">
      <c r="F24" s="6"/>
    </row>
    <row r="25" spans="6:6">
      <c r="F25" s="6"/>
    </row>
    <row r="26" spans="6:6">
      <c r="F26" s="6"/>
    </row>
    <row r="27" spans="6:6">
      <c r="F27" s="6"/>
    </row>
    <row r="28" spans="6:6">
      <c r="F28" s="6"/>
    </row>
    <row r="29" spans="6:6">
      <c r="F29" s="6"/>
    </row>
    <row r="30" spans="6:6">
      <c r="F30" s="6"/>
    </row>
    <row r="31" spans="6:6">
      <c r="F31" s="6"/>
    </row>
    <row r="32" spans="6:6">
      <c r="F32" s="6"/>
    </row>
    <row r="33" spans="6:6">
      <c r="F33" s="6"/>
    </row>
    <row r="34" spans="6:6">
      <c r="F34" s="6"/>
    </row>
    <row r="35" spans="6:6">
      <c r="F35" s="6"/>
    </row>
    <row r="36" spans="6:6">
      <c r="F36" s="6"/>
    </row>
    <row r="37" spans="6:6">
      <c r="F37" s="6"/>
    </row>
    <row r="38" spans="6:6">
      <c r="F38" s="6"/>
    </row>
    <row r="39" spans="6:6">
      <c r="F39" s="6"/>
    </row>
    <row r="40" spans="6:6">
      <c r="F40" s="6"/>
    </row>
    <row r="41" spans="6:6">
      <c r="F41" s="6"/>
    </row>
    <row r="42" spans="6:6">
      <c r="F42" s="6"/>
    </row>
    <row r="43" spans="6:6">
      <c r="F43" s="6"/>
    </row>
    <row r="44" spans="6:6">
      <c r="F44" s="6"/>
    </row>
    <row r="45" spans="6:6">
      <c r="F45" s="6"/>
    </row>
    <row r="46" spans="6:6">
      <c r="F46" s="6"/>
    </row>
    <row r="47" spans="6:6">
      <c r="F47" s="6"/>
    </row>
    <row r="48" spans="6:6">
      <c r="F48" s="6"/>
    </row>
    <row r="49" spans="6:6">
      <c r="F49" s="6"/>
    </row>
    <row r="50" spans="6:6">
      <c r="F50" s="6"/>
    </row>
    <row r="51" spans="6:6">
      <c r="F51" s="6"/>
    </row>
    <row r="52" spans="6:6">
      <c r="F52" s="6"/>
    </row>
    <row r="53" spans="6:6">
      <c r="F53" s="6"/>
    </row>
    <row r="54" spans="6:6">
      <c r="F54" s="6"/>
    </row>
    <row r="55" spans="6:6">
      <c r="F55" s="6"/>
    </row>
    <row r="56" spans="6:6">
      <c r="F56" s="6"/>
    </row>
    <row r="57" spans="6:6">
      <c r="F57" s="6"/>
    </row>
    <row r="58" spans="6:6">
      <c r="F58" s="6"/>
    </row>
    <row r="59" spans="6:6">
      <c r="F59" s="6"/>
    </row>
    <row r="60" spans="6:6">
      <c r="F60" s="6"/>
    </row>
    <row r="61" spans="6:6">
      <c r="F61" s="6"/>
    </row>
    <row r="62" spans="6:6">
      <c r="F62" s="6"/>
    </row>
    <row r="63" spans="6:6">
      <c r="F63" s="6"/>
    </row>
    <row r="64" spans="6:6">
      <c r="F64" s="6"/>
    </row>
    <row r="65" spans="6:7">
      <c r="F65" s="6"/>
      <c r="G65" s="6"/>
    </row>
    <row r="66" spans="6:7">
      <c r="F66" s="6"/>
    </row>
    <row r="67" spans="6:7">
      <c r="F67" s="6"/>
    </row>
    <row r="68" spans="6:7">
      <c r="F68" s="6"/>
    </row>
    <row r="69" spans="6:7">
      <c r="F69" s="6"/>
    </row>
    <row r="70" spans="6:7">
      <c r="F70" s="6"/>
    </row>
    <row r="71" spans="6:7">
      <c r="F71" s="6"/>
    </row>
    <row r="72" spans="6:7">
      <c r="F72" s="6"/>
    </row>
    <row r="73" spans="6:7">
      <c r="F73" s="6"/>
    </row>
    <row r="74" spans="6:7">
      <c r="F74" s="6"/>
    </row>
    <row r="75" spans="6:7">
      <c r="F75" s="6"/>
    </row>
    <row r="76" spans="6:7">
      <c r="F76" s="6"/>
    </row>
    <row r="77" spans="6:7">
      <c r="F77" s="6"/>
    </row>
    <row r="78" spans="6:7">
      <c r="F78" s="6"/>
    </row>
    <row r="79" spans="6:7">
      <c r="F79" s="6"/>
    </row>
    <row r="80" spans="6:7">
      <c r="F80" s="6"/>
    </row>
    <row r="81" spans="6:6">
      <c r="F81" s="6"/>
    </row>
    <row r="82" spans="6:6">
      <c r="F82" s="6"/>
    </row>
    <row r="83" spans="6:6">
      <c r="F83" s="6"/>
    </row>
    <row r="84" spans="6:6">
      <c r="F84" s="6"/>
    </row>
    <row r="85" spans="6:6">
      <c r="F85" s="6"/>
    </row>
    <row r="86" spans="6:6">
      <c r="F86" s="6"/>
    </row>
    <row r="87" spans="6:6">
      <c r="F87" s="6"/>
    </row>
    <row r="88" spans="6:6">
      <c r="F88" s="6"/>
    </row>
    <row r="89" spans="6:6">
      <c r="F89" s="6"/>
    </row>
    <row r="90" spans="6:6">
      <c r="F90" s="6"/>
    </row>
    <row r="91" spans="6:6">
      <c r="F91" s="6"/>
    </row>
    <row r="92" spans="6:6">
      <c r="F92" s="6"/>
    </row>
  </sheetData>
  <autoFilter ref="A1:G92" xr:uid="{DAE35B75-A1F2-489E-94F8-2E2D31B765CE}"/>
  <sortState xmlns:xlrd2="http://schemas.microsoft.com/office/spreadsheetml/2017/richdata2" ref="A2:G95">
    <sortCondition ref="A2:A9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3E70-8411-45A6-9C10-C88813BAFC1A}">
  <dimension ref="A1:I1"/>
  <sheetViews>
    <sheetView workbookViewId="0"/>
  </sheetViews>
  <sheetFormatPr defaultRowHeight="15"/>
  <cols>
    <col min="1" max="1" width="56.5703125" bestFit="1" customWidth="1"/>
    <col min="2" max="2" width="14.7109375" bestFit="1" customWidth="1"/>
    <col min="3" max="3" width="10" bestFit="1" customWidth="1"/>
    <col min="4" max="4" width="14.7109375" bestFit="1" customWidth="1"/>
    <col min="5" max="5" width="11.85546875" bestFit="1" customWidth="1"/>
    <col min="6" max="7" width="11.5703125" bestFit="1" customWidth="1"/>
    <col min="8" max="8" width="11.28515625" bestFit="1" customWidth="1"/>
    <col min="9" max="9" width="10.7109375" bestFit="1" customWidth="1"/>
  </cols>
  <sheetData>
    <row r="1" spans="1:9">
      <c r="A1" t="s">
        <v>716</v>
      </c>
      <c r="B1" t="s">
        <v>717</v>
      </c>
      <c r="C1" t="s">
        <v>718</v>
      </c>
      <c r="D1" t="s">
        <v>719</v>
      </c>
      <c r="E1" t="s">
        <v>720</v>
      </c>
      <c r="F1" t="s">
        <v>721</v>
      </c>
      <c r="G1" t="s">
        <v>722</v>
      </c>
      <c r="H1" t="s">
        <v>723</v>
      </c>
      <c r="I1" t="s">
        <v>724</v>
      </c>
    </row>
  </sheetData>
  <sortState xmlns:xlrd2="http://schemas.microsoft.com/office/spreadsheetml/2017/richdata2" ref="A2:I89">
    <sortCondition ref="A2:A8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Props1.xml><?xml version="1.0" encoding="utf-8"?>
<ds:datastoreItem xmlns:ds="http://schemas.openxmlformats.org/officeDocument/2006/customXml" ds:itemID="{5A67668B-CCAB-4248-B173-C77D04611B22}"/>
</file>

<file path=customXml/itemProps2.xml><?xml version="1.0" encoding="utf-8"?>
<ds:datastoreItem xmlns:ds="http://schemas.openxmlformats.org/officeDocument/2006/customXml" ds:itemID="{A1E513F4-A103-415D-B9AD-2F9B0BEDFF36}"/>
</file>

<file path=customXml/itemProps3.xml><?xml version="1.0" encoding="utf-8"?>
<ds:datastoreItem xmlns:ds="http://schemas.openxmlformats.org/officeDocument/2006/customXml" ds:itemID="{3BB92FD7-3D67-4D76-9D89-2FC79341A6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2026-06-09T15:06:34Z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